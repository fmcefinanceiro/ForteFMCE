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93eee85458fb33/Área de Trabalho/Forte/"/>
    </mc:Choice>
  </mc:AlternateContent>
  <xr:revisionPtr revIDLastSave="168" documentId="13_ncr:b_{DD65CE2E-D4C2-4641-A661-1E6BCA902ED0}" xr6:coauthVersionLast="47" xr6:coauthVersionMax="47" xr10:uidLastSave="{94F5F155-3B86-44FC-BC3F-2161DCC8E52F}"/>
  <bookViews>
    <workbookView xWindow="-108" yWindow="-108" windowWidth="23256" windowHeight="12456" activeTab="2" xr2:uid="{63A549A1-C200-4AB2-86F3-FDEA47072628}"/>
  </bookViews>
  <sheets>
    <sheet name="Realizado base ajustada" sheetId="4" r:id="rId1"/>
    <sheet name="Planilha4" sheetId="9" r:id="rId2"/>
    <sheet name="Relizado x Orçado" sheetId="1" r:id="rId3"/>
    <sheet name="Simulações ajustada" sheetId="5" r:id="rId4"/>
    <sheet name="Simulaçõe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6" i="1" l="1"/>
  <c r="AB36" i="1" s="1"/>
  <c r="AA37" i="1"/>
  <c r="AA38" i="1"/>
  <c r="E35" i="1"/>
  <c r="F35" i="1" s="1"/>
  <c r="G35" i="1"/>
  <c r="H35" i="1"/>
  <c r="I35" i="1"/>
  <c r="I39" i="1" s="1"/>
  <c r="J39" i="1" s="1"/>
  <c r="K35" i="1"/>
  <c r="L35" i="1" s="1"/>
  <c r="M35" i="1"/>
  <c r="N35" i="1"/>
  <c r="O35" i="1"/>
  <c r="P35" i="1" s="1"/>
  <c r="Q35" i="1"/>
  <c r="R35" i="1"/>
  <c r="S35" i="1"/>
  <c r="S39" i="1" s="1"/>
  <c r="T39" i="1" s="1"/>
  <c r="T35" i="1"/>
  <c r="U35" i="1"/>
  <c r="U39" i="1" s="1"/>
  <c r="V39" i="1" s="1"/>
  <c r="V35" i="1"/>
  <c r="W35" i="1"/>
  <c r="W39" i="1" s="1"/>
  <c r="X39" i="1" s="1"/>
  <c r="X35" i="1"/>
  <c r="Y35" i="1"/>
  <c r="Z35" i="1"/>
  <c r="AA41" i="1"/>
  <c r="C7" i="1"/>
  <c r="AA17" i="1"/>
  <c r="Y17" i="1"/>
  <c r="W17" i="1"/>
  <c r="U17" i="1"/>
  <c r="S17" i="1"/>
  <c r="Q17" i="1"/>
  <c r="O17" i="1"/>
  <c r="M17" i="1"/>
  <c r="K17" i="1"/>
  <c r="I17" i="1"/>
  <c r="G17" i="1"/>
  <c r="E17" i="1"/>
  <c r="U16" i="1"/>
  <c r="U34" i="1"/>
  <c r="AA11" i="1"/>
  <c r="Y11" i="1"/>
  <c r="W11" i="1"/>
  <c r="U11" i="1"/>
  <c r="S11" i="1"/>
  <c r="Q11" i="1"/>
  <c r="O11" i="1"/>
  <c r="M11" i="1"/>
  <c r="K11" i="1"/>
  <c r="I11" i="1"/>
  <c r="G11" i="1"/>
  <c r="E11" i="1"/>
  <c r="C11" i="1"/>
  <c r="AA7" i="1"/>
  <c r="Y7" i="1"/>
  <c r="W7" i="1"/>
  <c r="U7" i="1"/>
  <c r="S7" i="1"/>
  <c r="Q7" i="1"/>
  <c r="O7" i="1"/>
  <c r="M7" i="1"/>
  <c r="K7" i="1"/>
  <c r="I7" i="1"/>
  <c r="G7" i="1"/>
  <c r="E7" i="1"/>
  <c r="C35" i="1"/>
  <c r="C17" i="1"/>
  <c r="AA31" i="1"/>
  <c r="AA32" i="1"/>
  <c r="AA30" i="1"/>
  <c r="V31" i="1"/>
  <c r="Q37" i="1"/>
  <c r="F32" i="1"/>
  <c r="O27" i="1"/>
  <c r="AA33" i="1"/>
  <c r="AA29" i="1"/>
  <c r="AA14" i="1"/>
  <c r="O13" i="1"/>
  <c r="AA25" i="1"/>
  <c r="AA26" i="1"/>
  <c r="AA27" i="1"/>
  <c r="AA28" i="1"/>
  <c r="AA22" i="1"/>
  <c r="AA13" i="1"/>
  <c r="AA12" i="1"/>
  <c r="AA19" i="1"/>
  <c r="W24" i="1"/>
  <c r="AA24" i="1"/>
  <c r="U20" i="1"/>
  <c r="AA23" i="1"/>
  <c r="AA21" i="1"/>
  <c r="AA18" i="1"/>
  <c r="AA15" i="1"/>
  <c r="AA6" i="1"/>
  <c r="AA4" i="1"/>
  <c r="C4" i="1"/>
  <c r="D21" i="1"/>
  <c r="Y4" i="1"/>
  <c r="Z22" i="1"/>
  <c r="W4" i="1"/>
  <c r="X29" i="1"/>
  <c r="U4" i="1"/>
  <c r="V24" i="1"/>
  <c r="S4" i="1"/>
  <c r="T30" i="1"/>
  <c r="Q4" i="1"/>
  <c r="R30" i="1"/>
  <c r="O4" i="1"/>
  <c r="P18" i="1"/>
  <c r="M4" i="1"/>
  <c r="K4" i="1"/>
  <c r="I4" i="1"/>
  <c r="I16" i="1"/>
  <c r="G4" i="1"/>
  <c r="E4" i="1"/>
  <c r="F31" i="1"/>
  <c r="E3" i="2"/>
  <c r="G3" i="2"/>
  <c r="I3" i="2"/>
  <c r="C4" i="2"/>
  <c r="D4" i="2"/>
  <c r="E4" i="2"/>
  <c r="F4" i="2"/>
  <c r="G4" i="2"/>
  <c r="H4" i="2"/>
  <c r="I4" i="2"/>
  <c r="J4" i="2"/>
  <c r="C5" i="2"/>
  <c r="D5" i="2"/>
  <c r="E5" i="2"/>
  <c r="F5" i="2"/>
  <c r="G5" i="2"/>
  <c r="H5" i="2"/>
  <c r="I5" i="2"/>
  <c r="J5" i="2"/>
  <c r="D6" i="2"/>
  <c r="E6" i="2"/>
  <c r="F6" i="2"/>
  <c r="G6" i="2"/>
  <c r="H6" i="2"/>
  <c r="I6" i="2"/>
  <c r="J6" i="2"/>
  <c r="C7" i="2"/>
  <c r="D7" i="2"/>
  <c r="E7" i="2"/>
  <c r="F7" i="2"/>
  <c r="G7" i="2"/>
  <c r="H7" i="2"/>
  <c r="I7" i="2"/>
  <c r="J7" i="2"/>
  <c r="C8" i="2"/>
  <c r="D8" i="2"/>
  <c r="E8" i="2"/>
  <c r="F8" i="2"/>
  <c r="G8" i="2"/>
  <c r="H8" i="2"/>
  <c r="I8" i="2"/>
  <c r="J8" i="2"/>
  <c r="C9" i="2"/>
  <c r="D9" i="2"/>
  <c r="E9" i="2"/>
  <c r="F9" i="2"/>
  <c r="G9" i="2"/>
  <c r="H9" i="2"/>
  <c r="I9" i="2"/>
  <c r="J9" i="2"/>
  <c r="C10" i="2"/>
  <c r="D10" i="2"/>
  <c r="E10" i="2"/>
  <c r="F10" i="2"/>
  <c r="G10" i="2"/>
  <c r="H10" i="2"/>
  <c r="I10" i="2"/>
  <c r="J10" i="2"/>
  <c r="E11" i="2"/>
  <c r="G11" i="2"/>
  <c r="I11" i="2"/>
  <c r="L30" i="1"/>
  <c r="L31" i="1"/>
  <c r="J30" i="1"/>
  <c r="J31" i="1"/>
  <c r="H31" i="1"/>
  <c r="H30" i="1"/>
  <c r="T14" i="1"/>
  <c r="T29" i="1"/>
  <c r="R14" i="1"/>
  <c r="R29" i="1"/>
  <c r="P14" i="1"/>
  <c r="P29" i="1"/>
  <c r="H14" i="1"/>
  <c r="H29" i="1"/>
  <c r="F14" i="1"/>
  <c r="F29" i="1"/>
  <c r="D22" i="1"/>
  <c r="D14" i="1"/>
  <c r="AB22" i="1"/>
  <c r="AB13" i="1"/>
  <c r="AB38" i="1"/>
  <c r="T25" i="1"/>
  <c r="T22" i="1"/>
  <c r="T13" i="1"/>
  <c r="P22" i="1"/>
  <c r="P13" i="1"/>
  <c r="P38" i="1"/>
  <c r="N25" i="1"/>
  <c r="N22" i="1"/>
  <c r="N13" i="1"/>
  <c r="J22" i="1"/>
  <c r="J13" i="1"/>
  <c r="J38" i="1"/>
  <c r="H25" i="1"/>
  <c r="H22" i="1"/>
  <c r="H13" i="1"/>
  <c r="D25" i="1"/>
  <c r="D38" i="1"/>
  <c r="D13" i="1"/>
  <c r="Z25" i="1"/>
  <c r="Z13" i="1"/>
  <c r="Z38" i="1"/>
  <c r="AB21" i="1"/>
  <c r="AB19" i="1"/>
  <c r="X24" i="1"/>
  <c r="AB23" i="1"/>
  <c r="D24" i="1"/>
  <c r="D20" i="1"/>
  <c r="Z21" i="1"/>
  <c r="Z23" i="1"/>
  <c r="X19" i="1"/>
  <c r="X20" i="1"/>
  <c r="X21" i="1"/>
  <c r="X23" i="1"/>
  <c r="T24" i="1"/>
  <c r="T19" i="1"/>
  <c r="T20" i="1"/>
  <c r="T23" i="1"/>
  <c r="T21" i="1"/>
  <c r="R24" i="1"/>
  <c r="R19" i="1"/>
  <c r="P20" i="1"/>
  <c r="P23" i="1"/>
  <c r="P21" i="1"/>
  <c r="N24" i="1"/>
  <c r="N19" i="1"/>
  <c r="N20" i="1"/>
  <c r="N23" i="1"/>
  <c r="L21" i="1"/>
  <c r="J23" i="1"/>
  <c r="J20" i="1"/>
  <c r="J19" i="1"/>
  <c r="H19" i="1"/>
  <c r="H23" i="1"/>
  <c r="H20" i="1"/>
  <c r="V17" i="1"/>
  <c r="AA20" i="1"/>
  <c r="AB20" i="1"/>
  <c r="J21" i="1"/>
  <c r="J24" i="1"/>
  <c r="H21" i="1"/>
  <c r="H24" i="1"/>
  <c r="R12" i="1"/>
  <c r="D17" i="1"/>
  <c r="V12" i="1"/>
  <c r="J12" i="1"/>
  <c r="H17" i="1"/>
  <c r="H12" i="1"/>
  <c r="L17" i="1"/>
  <c r="L12" i="1"/>
  <c r="X12" i="1"/>
  <c r="T17" i="1"/>
  <c r="P17" i="1"/>
  <c r="N17" i="1"/>
  <c r="AB12" i="1"/>
  <c r="D6" i="1"/>
  <c r="D33" i="1"/>
  <c r="D35" i="1"/>
  <c r="D12" i="1"/>
  <c r="AB33" i="1"/>
  <c r="AB28" i="1"/>
  <c r="AB27" i="1"/>
  <c r="Z33" i="1"/>
  <c r="Z28" i="1"/>
  <c r="Z27" i="1"/>
  <c r="Z26" i="1"/>
  <c r="Z18" i="1"/>
  <c r="Z9" i="1"/>
  <c r="Z6" i="1"/>
  <c r="X9" i="1"/>
  <c r="X18" i="1"/>
  <c r="X6" i="1"/>
  <c r="V33" i="1"/>
  <c r="V28" i="1"/>
  <c r="V27" i="1"/>
  <c r="T33" i="1"/>
  <c r="T28" i="1"/>
  <c r="T27" i="1"/>
  <c r="T26" i="1"/>
  <c r="T18" i="1"/>
  <c r="T9" i="1"/>
  <c r="T6" i="1"/>
  <c r="R18" i="1"/>
  <c r="R6" i="1"/>
  <c r="R9" i="1"/>
  <c r="P28" i="1"/>
  <c r="P9" i="1"/>
  <c r="P27" i="1"/>
  <c r="P26" i="1"/>
  <c r="N33" i="1"/>
  <c r="N28" i="1"/>
  <c r="N27" i="1"/>
  <c r="N26" i="1"/>
  <c r="N18" i="1"/>
  <c r="N9" i="1"/>
  <c r="N6" i="1"/>
  <c r="L18" i="1"/>
  <c r="L26" i="1"/>
  <c r="L28" i="1"/>
  <c r="J33" i="1"/>
  <c r="J28" i="1"/>
  <c r="J27" i="1"/>
  <c r="H26" i="1"/>
  <c r="H27" i="1"/>
  <c r="H28" i="1"/>
  <c r="H9" i="1"/>
  <c r="H33" i="1"/>
  <c r="H18" i="1"/>
  <c r="H6" i="1"/>
  <c r="F18" i="1"/>
  <c r="F9" i="1"/>
  <c r="F6" i="1"/>
  <c r="AB17" i="1"/>
  <c r="AB24" i="1"/>
  <c r="D15" i="1"/>
  <c r="D11" i="1"/>
  <c r="C8" i="1"/>
  <c r="AA8" i="1"/>
  <c r="Z15" i="1"/>
  <c r="Z11" i="1"/>
  <c r="Z10" i="1"/>
  <c r="Y8" i="1"/>
  <c r="X11" i="1"/>
  <c r="X15" i="1"/>
  <c r="W8" i="1"/>
  <c r="U8" i="1"/>
  <c r="V11" i="1"/>
  <c r="T15" i="1"/>
  <c r="T11" i="1"/>
  <c r="S8" i="1"/>
  <c r="T10" i="1"/>
  <c r="R15" i="1"/>
  <c r="R11" i="1"/>
  <c r="Q8" i="1"/>
  <c r="O8" i="1"/>
  <c r="N15" i="1"/>
  <c r="N11" i="1"/>
  <c r="M8" i="1"/>
  <c r="N10" i="1"/>
  <c r="L10" i="1"/>
  <c r="K8" i="1"/>
  <c r="I8" i="1"/>
  <c r="H10" i="1"/>
  <c r="G8" i="1"/>
  <c r="H15" i="1"/>
  <c r="H11" i="1"/>
  <c r="F15" i="1"/>
  <c r="F11" i="1"/>
  <c r="E8" i="1"/>
  <c r="X8" i="1"/>
  <c r="V8" i="1"/>
  <c r="T8" i="1"/>
  <c r="R8" i="1"/>
  <c r="P8" i="1"/>
  <c r="N8" i="1"/>
  <c r="L8" i="1"/>
  <c r="Z7" i="1"/>
  <c r="X7" i="1"/>
  <c r="V7" i="1"/>
  <c r="T7" i="1"/>
  <c r="R7" i="1"/>
  <c r="P7" i="1"/>
  <c r="N7" i="1"/>
  <c r="V16" i="1"/>
  <c r="D37" i="1"/>
  <c r="AB37" i="1"/>
  <c r="Z37" i="1"/>
  <c r="T37" i="1"/>
  <c r="R37" i="1"/>
  <c r="P37" i="1"/>
  <c r="N37" i="1"/>
  <c r="H37" i="1"/>
  <c r="F36" i="1"/>
  <c r="T36" i="1"/>
  <c r="L37" i="1"/>
  <c r="X36" i="1"/>
  <c r="F37" i="1"/>
  <c r="P36" i="1"/>
  <c r="N36" i="1"/>
  <c r="AB30" i="1"/>
  <c r="AB26" i="1"/>
  <c r="AB18" i="1"/>
  <c r="AB10" i="1"/>
  <c r="AB14" i="1"/>
  <c r="AB25" i="1"/>
  <c r="AB9" i="1"/>
  <c r="AB15" i="1"/>
  <c r="AB6" i="1"/>
  <c r="AB11" i="1"/>
  <c r="AB8" i="1"/>
  <c r="AB29" i="1"/>
  <c r="AB7" i="1"/>
  <c r="AA16" i="1"/>
  <c r="H38" i="1"/>
  <c r="H36" i="1"/>
  <c r="G16" i="1"/>
  <c r="H8" i="1"/>
  <c r="H7" i="1"/>
  <c r="H32" i="1"/>
  <c r="I34" i="1"/>
  <c r="J16" i="1"/>
  <c r="K16" i="1"/>
  <c r="L15" i="1"/>
  <c r="L7" i="1"/>
  <c r="L25" i="1"/>
  <c r="L24" i="1"/>
  <c r="L33" i="1"/>
  <c r="L11" i="1"/>
  <c r="L36" i="1"/>
  <c r="L13" i="1"/>
  <c r="L20" i="1"/>
  <c r="L27" i="1"/>
  <c r="L14" i="1"/>
  <c r="L22" i="1"/>
  <c r="L23" i="1"/>
  <c r="L9" i="1"/>
  <c r="L29" i="1"/>
  <c r="L38" i="1"/>
  <c r="L19" i="1"/>
  <c r="L6" i="1"/>
  <c r="L32" i="1"/>
  <c r="N14" i="1"/>
  <c r="N38" i="1"/>
  <c r="N21" i="1"/>
  <c r="N29" i="1"/>
  <c r="N12" i="1"/>
  <c r="N30" i="1"/>
  <c r="N31" i="1"/>
  <c r="N32" i="1"/>
  <c r="M16" i="1"/>
  <c r="V34" i="1"/>
  <c r="Z29" i="1"/>
  <c r="T32" i="1"/>
  <c r="Z32" i="1"/>
  <c r="T31" i="1"/>
  <c r="Z31" i="1"/>
  <c r="O16" i="1"/>
  <c r="D30" i="1"/>
  <c r="R32" i="1"/>
  <c r="Q16" i="1"/>
  <c r="D32" i="1"/>
  <c r="V32" i="1"/>
  <c r="S16" i="1"/>
  <c r="J32" i="1"/>
  <c r="X32" i="1"/>
  <c r="Y16" i="1"/>
  <c r="X31" i="1"/>
  <c r="C16" i="1"/>
  <c r="J36" i="1"/>
  <c r="J10" i="1"/>
  <c r="V15" i="1"/>
  <c r="F26" i="1"/>
  <c r="R26" i="1"/>
  <c r="X26" i="1"/>
  <c r="D28" i="1"/>
  <c r="Z12" i="1"/>
  <c r="V23" i="1"/>
  <c r="V13" i="1"/>
  <c r="V22" i="1"/>
  <c r="V36" i="1"/>
  <c r="F7" i="1"/>
  <c r="P11" i="1"/>
  <c r="J6" i="1"/>
  <c r="P6" i="1"/>
  <c r="V6" i="1"/>
  <c r="R17" i="1"/>
  <c r="F21" i="1"/>
  <c r="P24" i="1"/>
  <c r="Z24" i="1"/>
  <c r="F13" i="1"/>
  <c r="R13" i="1"/>
  <c r="P31" i="1"/>
  <c r="R36" i="1"/>
  <c r="F8" i="1"/>
  <c r="J11" i="1"/>
  <c r="P15" i="1"/>
  <c r="F28" i="1"/>
  <c r="J9" i="1"/>
  <c r="P33" i="1"/>
  <c r="R28" i="1"/>
  <c r="V18" i="1"/>
  <c r="X28" i="1"/>
  <c r="D26" i="1"/>
  <c r="T12" i="1"/>
  <c r="F17" i="1"/>
  <c r="F19" i="1"/>
  <c r="R21" i="1"/>
  <c r="V20" i="1"/>
  <c r="D23" i="1"/>
  <c r="X38" i="1"/>
  <c r="F22" i="1"/>
  <c r="R22" i="1"/>
  <c r="X22" i="1"/>
  <c r="D29" i="1"/>
  <c r="P30" i="1"/>
  <c r="V29" i="1"/>
  <c r="X30" i="1"/>
  <c r="E16" i="1"/>
  <c r="Z20" i="1"/>
  <c r="V38" i="1"/>
  <c r="J25" i="1"/>
  <c r="P25" i="1"/>
  <c r="V14" i="1"/>
  <c r="J29" i="1"/>
  <c r="V30" i="1"/>
  <c r="W16" i="1"/>
  <c r="Z8" i="1"/>
  <c r="P10" i="1"/>
  <c r="P12" i="1"/>
  <c r="F23" i="1"/>
  <c r="P19" i="1"/>
  <c r="Z19" i="1"/>
  <c r="F38" i="1"/>
  <c r="R38" i="1"/>
  <c r="J14" i="1"/>
  <c r="J37" i="1"/>
  <c r="D7" i="1"/>
  <c r="J15" i="1"/>
  <c r="F27" i="1"/>
  <c r="R27" i="1"/>
  <c r="X27" i="1"/>
  <c r="D27" i="1"/>
  <c r="Z17" i="1"/>
  <c r="V21" i="1"/>
  <c r="V25" i="1"/>
  <c r="X14" i="1"/>
  <c r="D31" i="1"/>
  <c r="Z36" i="1"/>
  <c r="D8" i="1"/>
  <c r="V10" i="1"/>
  <c r="D36" i="1"/>
  <c r="X37" i="1"/>
  <c r="J7" i="1"/>
  <c r="F33" i="1"/>
  <c r="J18" i="1"/>
  <c r="R33" i="1"/>
  <c r="V26" i="1"/>
  <c r="X33" i="1"/>
  <c r="D18" i="1"/>
  <c r="J17" i="1"/>
  <c r="F20" i="1"/>
  <c r="R23" i="1"/>
  <c r="V19" i="1"/>
  <c r="D19" i="1"/>
  <c r="X13" i="1"/>
  <c r="F25" i="1"/>
  <c r="R25" i="1"/>
  <c r="Z14" i="1"/>
  <c r="F30" i="1"/>
  <c r="R31" i="1"/>
  <c r="P32" i="1"/>
  <c r="Z30" i="1"/>
  <c r="J8" i="1"/>
  <c r="F10" i="1"/>
  <c r="R10" i="1"/>
  <c r="X10" i="1"/>
  <c r="D10" i="1"/>
  <c r="J26" i="1"/>
  <c r="V9" i="1"/>
  <c r="D9" i="1"/>
  <c r="F12" i="1"/>
  <c r="X17" i="1"/>
  <c r="F24" i="1"/>
  <c r="R20" i="1"/>
  <c r="X25" i="1"/>
  <c r="T38" i="1"/>
  <c r="W34" i="1"/>
  <c r="X16" i="1"/>
  <c r="J34" i="1"/>
  <c r="D16" i="1"/>
  <c r="C34" i="1"/>
  <c r="AA34" i="1"/>
  <c r="AB16" i="1"/>
  <c r="Y34" i="1"/>
  <c r="Z16" i="1"/>
  <c r="L16" i="1"/>
  <c r="K34" i="1"/>
  <c r="S34" i="1"/>
  <c r="T16" i="1"/>
  <c r="Q34" i="1"/>
  <c r="R16" i="1"/>
  <c r="N16" i="1"/>
  <c r="M34" i="1"/>
  <c r="G34" i="1"/>
  <c r="H16" i="1"/>
  <c r="E34" i="1"/>
  <c r="F16" i="1"/>
  <c r="O34" i="1"/>
  <c r="P16" i="1"/>
  <c r="X34" i="1"/>
  <c r="O39" i="1"/>
  <c r="P39" i="1" s="1"/>
  <c r="P34" i="1"/>
  <c r="E39" i="1"/>
  <c r="F39" i="1"/>
  <c r="F34" i="1"/>
  <c r="AB34" i="1"/>
  <c r="T34" i="1"/>
  <c r="L34" i="1"/>
  <c r="K39" i="1"/>
  <c r="L39" i="1" s="1"/>
  <c r="Y39" i="1"/>
  <c r="Z39" i="1"/>
  <c r="Z34" i="1"/>
  <c r="G39" i="1"/>
  <c r="H39" i="1"/>
  <c r="H34" i="1"/>
  <c r="N34" i="1"/>
  <c r="M39" i="1"/>
  <c r="N39" i="1"/>
  <c r="C39" i="1"/>
  <c r="D39" i="1"/>
  <c r="D34" i="1"/>
  <c r="Q39" i="1"/>
  <c r="R39" i="1"/>
  <c r="R34" i="1"/>
  <c r="V37" i="1"/>
  <c r="AA35" i="1" l="1"/>
  <c r="AB35" i="1"/>
  <c r="AA39" i="1"/>
  <c r="AB39" i="1" s="1"/>
  <c r="J35" i="1"/>
</calcChain>
</file>

<file path=xl/sharedStrings.xml><?xml version="1.0" encoding="utf-8"?>
<sst xmlns="http://schemas.openxmlformats.org/spreadsheetml/2006/main" count="202" uniqueCount="65">
  <si>
    <t xml:space="preserve">REALIZADO </t>
  </si>
  <si>
    <t xml:space="preserve">Valor(R$) </t>
  </si>
  <si>
    <t xml:space="preserve">% </t>
  </si>
  <si>
    <t xml:space="preserve">  </t>
  </si>
  <si>
    <t xml:space="preserve">TOTAL CUSTOS VARIÁVEIS </t>
  </si>
  <si>
    <t xml:space="preserve">(-) DEDUÇÕES DA RECEITA </t>
  </si>
  <si>
    <t xml:space="preserve">Gerais </t>
  </si>
  <si>
    <t xml:space="preserve">RESULTADO OPERACIONAL </t>
  </si>
  <si>
    <t xml:space="preserve">RESULTADO NÃO-OPERACIONAL </t>
  </si>
  <si>
    <t xml:space="preserve">Contribuição Social </t>
  </si>
  <si>
    <t xml:space="preserve">RESULTADO LÍQUIDO </t>
  </si>
  <si>
    <t xml:space="preserve">Resultado Base </t>
  </si>
  <si>
    <t>Simulação 1</t>
  </si>
  <si>
    <t>Simulação 2</t>
  </si>
  <si>
    <t>Custos e despesas variáveis</t>
  </si>
  <si>
    <t>Margem de contribuição</t>
  </si>
  <si>
    <t>Despesas fixas</t>
  </si>
  <si>
    <t>Devolução Venda</t>
  </si>
  <si>
    <t>Impostos Vendas</t>
  </si>
  <si>
    <t>Comissões Vendas</t>
  </si>
  <si>
    <t>(-)CUSTOS E DESPESAS VARIÁVEIS</t>
  </si>
  <si>
    <t>Serviços</t>
  </si>
  <si>
    <t>MARGEM CONTRIBUIÇÃO</t>
  </si>
  <si>
    <t>DESPESAS - RECEITAS FINANCEIRAS</t>
  </si>
  <si>
    <r>
      <t>Receita</t>
    </r>
    <r>
      <rPr>
        <b/>
        <sz val="10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>Total</t>
    </r>
  </si>
  <si>
    <t xml:space="preserve">Aumento de 20% volume </t>
  </si>
  <si>
    <t xml:space="preserve">Redução 10% c/  Despesas Fixas </t>
  </si>
  <si>
    <t xml:space="preserve">Aumento de 7% Preço </t>
  </si>
  <si>
    <t>Despesas Financeiras</t>
  </si>
  <si>
    <t>Resultado Bruto</t>
  </si>
  <si>
    <t>IRPJ/CSL</t>
  </si>
  <si>
    <t>Resultado Líquido</t>
  </si>
  <si>
    <t>% Variação Resultado</t>
  </si>
  <si>
    <t>Período de 01.06 a 30.06.2023</t>
  </si>
  <si>
    <t>DRE</t>
  </si>
  <si>
    <t>TOTAL 2025</t>
  </si>
  <si>
    <t>RECEITAS</t>
  </si>
  <si>
    <t>Aluguel</t>
  </si>
  <si>
    <t>Energia</t>
  </si>
  <si>
    <t>Mkt</t>
  </si>
  <si>
    <t>Mat. Esc.</t>
  </si>
  <si>
    <t>Contabilidade</t>
  </si>
  <si>
    <t>Contab. / Cons. Fin. / Ment.</t>
  </si>
  <si>
    <t>Telefonia / Internet</t>
  </si>
  <si>
    <t>Gasolina</t>
  </si>
  <si>
    <t>Sistema</t>
  </si>
  <si>
    <t>Pró-labore</t>
  </si>
  <si>
    <t>ONR - Operador Nac. Reg. Eletr.</t>
  </si>
  <si>
    <t>Brindes</t>
  </si>
  <si>
    <t>Alimentação</t>
  </si>
  <si>
    <t>Salários / Encargos</t>
  </si>
  <si>
    <t>Repasse Aluguel Proprietários</t>
  </si>
  <si>
    <t>Plano de Saúde</t>
  </si>
  <si>
    <t>Outros</t>
  </si>
  <si>
    <t>Taxas / Licenças / Alvarás</t>
  </si>
  <si>
    <t>Realize</t>
  </si>
  <si>
    <t>SIMPLES</t>
  </si>
  <si>
    <t>CUSTOS / DESPESAS</t>
  </si>
  <si>
    <t>EMPRÉSTIMO PESSOA FÍSICA</t>
  </si>
  <si>
    <t>Receita Serviços</t>
  </si>
  <si>
    <t>ESPECIFICA</t>
  </si>
  <si>
    <t>Receita Bruta</t>
  </si>
  <si>
    <t>DESPESAS NÃO OPERACIONAIS</t>
  </si>
  <si>
    <t>EMPRESTIMOS</t>
  </si>
  <si>
    <t>(-) DEDUÇÕES DA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</si>
</sst>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2"/>
      <name val="Times New Roman"/>
    </font>
    <font>
      <sz val="12"/>
      <name val="Times New Roman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Tenorite"/>
    </font>
    <font>
      <sz val="11"/>
      <name val="Tenorite"/>
    </font>
    <font>
      <b/>
      <sz val="10"/>
      <color indexed="8"/>
      <name val="Tenorite"/>
    </font>
    <font>
      <sz val="10"/>
      <name val="Tenorite"/>
    </font>
    <font>
      <b/>
      <sz val="11"/>
      <name val="Tenorite"/>
    </font>
    <font>
      <b/>
      <sz val="15"/>
      <color indexed="8"/>
      <name val="Tenorite"/>
    </font>
    <font>
      <b/>
      <sz val="10"/>
      <name val="Tenorite"/>
    </font>
    <font>
      <sz val="10"/>
      <color theme="0"/>
      <name val="Tenorite"/>
    </font>
    <font>
      <b/>
      <sz val="10"/>
      <color theme="0"/>
      <name val="Tenorite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4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4" fontId="3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164" fontId="2" fillId="0" borderId="0" xfId="1" applyFont="1" applyFill="1" applyAlignment="1">
      <alignment horizontal="center" vertical="top" wrapText="1"/>
    </xf>
    <xf numFmtId="10" fontId="2" fillId="0" borderId="1" xfId="0" applyNumberFormat="1" applyFont="1" applyBorder="1" applyAlignment="1">
      <alignment horizontal="right" vertical="top" wrapText="1"/>
    </xf>
    <xf numFmtId="164" fontId="2" fillId="0" borderId="1" xfId="1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0" xfId="0" applyFont="1"/>
    <xf numFmtId="164" fontId="11" fillId="2" borderId="0" xfId="1" applyFont="1" applyFill="1" applyAlignment="1">
      <alignment vertical="center" wrapText="1"/>
    </xf>
    <xf numFmtId="9" fontId="11" fillId="2" borderId="0" xfId="1" applyNumberFormat="1" applyFont="1" applyFill="1" applyAlignment="1">
      <alignment vertical="center" wrapText="1"/>
    </xf>
    <xf numFmtId="164" fontId="4" fillId="0" borderId="0" xfId="1" applyFont="1" applyFill="1" applyAlignment="1">
      <alignment vertical="center" wrapText="1"/>
    </xf>
    <xf numFmtId="10" fontId="4" fillId="0" borderId="0" xfId="1" applyNumberFormat="1" applyFont="1" applyFill="1" applyAlignment="1">
      <alignment vertical="center" wrapText="1"/>
    </xf>
    <xf numFmtId="10" fontId="11" fillId="2" borderId="0" xfId="1" applyNumberFormat="1" applyFont="1" applyFill="1" applyAlignment="1">
      <alignment vertical="center" wrapText="1"/>
    </xf>
    <xf numFmtId="164" fontId="4" fillId="3" borderId="0" xfId="1" applyFont="1" applyFill="1" applyAlignment="1">
      <alignment vertical="center" wrapText="1"/>
    </xf>
    <xf numFmtId="10" fontId="4" fillId="3" borderId="0" xfId="1" applyNumberFormat="1" applyFont="1" applyFill="1" applyAlignment="1">
      <alignment vertical="center" wrapText="1"/>
    </xf>
    <xf numFmtId="164" fontId="6" fillId="3" borderId="0" xfId="1" applyFont="1" applyFill="1" applyAlignment="1">
      <alignment vertical="center" wrapText="1"/>
    </xf>
    <xf numFmtId="10" fontId="6" fillId="3" borderId="0" xfId="1" applyNumberFormat="1" applyFont="1" applyFill="1" applyAlignment="1">
      <alignment vertical="center" wrapText="1"/>
    </xf>
    <xf numFmtId="164" fontId="4" fillId="0" borderId="0" xfId="1" applyFont="1" applyFill="1" applyAlignment="1">
      <alignment vertical="top" wrapText="1"/>
    </xf>
    <xf numFmtId="164" fontId="11" fillId="2" borderId="4" xfId="1" applyFont="1" applyFill="1" applyBorder="1" applyAlignment="1">
      <alignment vertical="center" wrapText="1"/>
    </xf>
    <xf numFmtId="10" fontId="11" fillId="2" borderId="4" xfId="1" applyNumberFormat="1" applyFont="1" applyFill="1" applyBorder="1" applyAlignment="1">
      <alignment vertical="center" wrapText="1"/>
    </xf>
    <xf numFmtId="0" fontId="7" fillId="0" borderId="0" xfId="0" applyFont="1"/>
    <xf numFmtId="0" fontId="11" fillId="2" borderId="0" xfId="0" applyFont="1" applyFill="1" applyAlignment="1">
      <alignment horizontal="center" vertical="top" wrapText="1"/>
    </xf>
    <xf numFmtId="17" fontId="6" fillId="0" borderId="0" xfId="0" applyNumberFormat="1" applyFont="1" applyAlignment="1">
      <alignment horizontal="center" vertical="top" wrapText="1"/>
    </xf>
    <xf numFmtId="0" fontId="8" fillId="0" borderId="0" xfId="0" applyFont="1"/>
    <xf numFmtId="0" fontId="5" fillId="0" borderId="0" xfId="0" applyFont="1" applyAlignment="1">
      <alignment vertical="center"/>
    </xf>
    <xf numFmtId="164" fontId="5" fillId="0" borderId="0" xfId="1" applyFont="1"/>
    <xf numFmtId="164" fontId="7" fillId="0" borderId="0" xfId="1" applyFont="1"/>
    <xf numFmtId="164" fontId="7" fillId="3" borderId="0" xfId="1" applyFont="1" applyFill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17" fontId="6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164" fontId="10" fillId="3" borderId="0" xfId="1" applyFont="1" applyFill="1" applyAlignment="1">
      <alignment horizontal="center"/>
    </xf>
    <xf numFmtId="0" fontId="6" fillId="0" borderId="0" xfId="0" applyFont="1" applyAlignment="1">
      <alignment horizontal="center" vertical="top" wrapText="1"/>
    </xf>
    <xf numFmtId="0" fontId="1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66F2-6888-4024-8B4D-77D93F74EF36}">
  <dimension ref="A1:M28"/>
  <sheetViews>
    <sheetView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C10" sqref="C10"/>
    </sheetView>
  </sheetViews>
  <sheetFormatPr defaultColWidth="9" defaultRowHeight="13.8" x14ac:dyDescent="0.25"/>
  <cols>
    <col min="1" max="1" width="25.59765625" style="27" bestFit="1" customWidth="1"/>
    <col min="2" max="2" width="12.09765625" style="27" bestFit="1" customWidth="1"/>
    <col min="3" max="3" width="9.69921875" style="14" bestFit="1" customWidth="1"/>
    <col min="4" max="4" width="9.59765625" style="14" bestFit="1" customWidth="1"/>
    <col min="5" max="5" width="9" style="14"/>
    <col min="6" max="6" width="9.59765625" style="14" bestFit="1" customWidth="1"/>
    <col min="7" max="7" width="9.69921875" style="14" bestFit="1" customWidth="1"/>
    <col min="8" max="8" width="9.59765625" style="14" bestFit="1" customWidth="1"/>
    <col min="9" max="9" width="9.69921875" style="14" bestFit="1" customWidth="1"/>
    <col min="10" max="11" width="9" style="14"/>
    <col min="12" max="12" width="9.69921875" style="14" bestFit="1" customWidth="1"/>
    <col min="13" max="16384" width="9" style="14"/>
  </cols>
  <sheetData>
    <row r="1" spans="1:13" s="30" customFormat="1" ht="14.4" customHeight="1" x14ac:dyDescent="0.25">
      <c r="A1" s="35"/>
      <c r="B1" s="29">
        <v>45658</v>
      </c>
      <c r="C1" s="29">
        <v>45689</v>
      </c>
      <c r="D1" s="29">
        <v>45717</v>
      </c>
      <c r="E1" s="29">
        <v>45748</v>
      </c>
      <c r="F1" s="29">
        <v>45047</v>
      </c>
      <c r="G1" s="29">
        <v>45809</v>
      </c>
      <c r="H1" s="29">
        <v>45839</v>
      </c>
      <c r="I1" s="29">
        <v>45870</v>
      </c>
      <c r="J1" s="29">
        <v>45901</v>
      </c>
      <c r="K1" s="29">
        <v>45931</v>
      </c>
      <c r="L1" s="29">
        <v>45962</v>
      </c>
      <c r="M1" s="29">
        <v>45992</v>
      </c>
    </row>
    <row r="2" spans="1:13" ht="13.5" customHeight="1" x14ac:dyDescent="0.25">
      <c r="A2" s="36" t="s">
        <v>59</v>
      </c>
      <c r="B2" s="17">
        <v>50535</v>
      </c>
      <c r="C2" s="17">
        <v>133317.28</v>
      </c>
      <c r="D2" s="17">
        <v>43466.55</v>
      </c>
      <c r="E2" s="17">
        <v>35081.919999999998</v>
      </c>
      <c r="F2" s="17">
        <v>60524.01</v>
      </c>
      <c r="G2" s="17">
        <v>111734.55</v>
      </c>
      <c r="H2" s="17">
        <v>79884.34</v>
      </c>
      <c r="I2" s="17">
        <v>183847.11</v>
      </c>
      <c r="J2" s="17">
        <v>83165.509999999995</v>
      </c>
      <c r="K2" s="17">
        <v>59932.43</v>
      </c>
      <c r="L2" s="17">
        <v>149411.69</v>
      </c>
      <c r="M2" s="17">
        <v>74145.34</v>
      </c>
    </row>
    <row r="3" spans="1:13" ht="15.75" customHeight="1" x14ac:dyDescent="0.25">
      <c r="A3" s="36" t="s">
        <v>17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</row>
    <row r="4" spans="1:13" ht="15.75" customHeight="1" x14ac:dyDescent="0.25">
      <c r="A4" s="36" t="s">
        <v>18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</row>
    <row r="5" spans="1:13" ht="15.75" customHeight="1" x14ac:dyDescent="0.25">
      <c r="A5" s="36" t="s">
        <v>44</v>
      </c>
      <c r="B5" s="17">
        <v>800</v>
      </c>
      <c r="C5" s="17">
        <v>600</v>
      </c>
      <c r="D5" s="17">
        <v>1200</v>
      </c>
      <c r="E5" s="17">
        <v>800</v>
      </c>
      <c r="F5" s="17">
        <v>1200</v>
      </c>
      <c r="G5" s="17">
        <v>1200</v>
      </c>
      <c r="H5" s="17">
        <v>1002.88</v>
      </c>
      <c r="I5" s="17">
        <v>1000</v>
      </c>
      <c r="J5" s="17">
        <v>200</v>
      </c>
      <c r="K5" s="17">
        <v>1200</v>
      </c>
      <c r="L5" s="17">
        <v>800</v>
      </c>
      <c r="M5" s="17">
        <v>400</v>
      </c>
    </row>
    <row r="6" spans="1:13" ht="13.8" customHeight="1" x14ac:dyDescent="0.25">
      <c r="A6" s="37" t="s">
        <v>47</v>
      </c>
      <c r="B6" s="17">
        <v>0</v>
      </c>
      <c r="C6" s="17">
        <v>0</v>
      </c>
      <c r="D6" s="17">
        <v>300</v>
      </c>
      <c r="E6" s="17">
        <v>30</v>
      </c>
      <c r="F6" s="17">
        <v>10124.76</v>
      </c>
      <c r="G6" s="17">
        <v>175.6</v>
      </c>
      <c r="H6" s="17">
        <v>177.8</v>
      </c>
      <c r="I6" s="17">
        <v>100</v>
      </c>
      <c r="J6" s="17">
        <v>3824.76</v>
      </c>
      <c r="K6" s="17">
        <v>2471</v>
      </c>
      <c r="L6" s="17">
        <v>4823.45</v>
      </c>
      <c r="M6" s="17">
        <v>327</v>
      </c>
    </row>
    <row r="7" spans="1:13" ht="15.75" customHeight="1" x14ac:dyDescent="0.25">
      <c r="A7" s="37" t="s">
        <v>51</v>
      </c>
      <c r="B7" s="17">
        <v>1170</v>
      </c>
      <c r="C7" s="17">
        <v>1170</v>
      </c>
      <c r="D7" s="17">
        <v>1170</v>
      </c>
      <c r="E7" s="17">
        <v>1170</v>
      </c>
      <c r="F7" s="17">
        <v>1170</v>
      </c>
      <c r="G7" s="17">
        <v>1170</v>
      </c>
      <c r="H7" s="17">
        <v>1170</v>
      </c>
      <c r="I7" s="17">
        <v>0</v>
      </c>
      <c r="J7" s="17">
        <v>0</v>
      </c>
      <c r="K7" s="17">
        <v>0</v>
      </c>
      <c r="L7" s="17">
        <v>0</v>
      </c>
      <c r="M7" s="17">
        <v>1203.0999999999999</v>
      </c>
    </row>
    <row r="8" spans="1:13" ht="15.75" customHeight="1" x14ac:dyDescent="0.25">
      <c r="A8" s="36" t="s">
        <v>19</v>
      </c>
      <c r="B8" s="17">
        <v>12252</v>
      </c>
      <c r="C8" s="17">
        <v>72518.91</v>
      </c>
      <c r="D8" s="17">
        <v>6356.84</v>
      </c>
      <c r="E8" s="17">
        <v>12730.35</v>
      </c>
      <c r="F8" s="17">
        <v>4397.32</v>
      </c>
      <c r="G8" s="17">
        <v>6765.5</v>
      </c>
      <c r="H8" s="17">
        <v>36644.379999999997</v>
      </c>
      <c r="I8" s="17">
        <v>119431.2</v>
      </c>
      <c r="J8" s="17">
        <v>22481.81</v>
      </c>
      <c r="K8" s="17">
        <v>29434.91</v>
      </c>
      <c r="L8" s="17">
        <v>53643.77</v>
      </c>
      <c r="M8" s="17">
        <v>41558.61</v>
      </c>
    </row>
    <row r="9" spans="1:13" ht="17.25" customHeight="1" x14ac:dyDescent="0.25">
      <c r="A9" s="36" t="s">
        <v>37</v>
      </c>
      <c r="B9" s="17">
        <v>1365</v>
      </c>
      <c r="C9" s="17">
        <v>1600</v>
      </c>
      <c r="D9" s="17">
        <v>1600</v>
      </c>
      <c r="E9" s="17">
        <v>1600</v>
      </c>
      <c r="F9" s="17">
        <v>1600</v>
      </c>
      <c r="G9" s="17">
        <v>1600</v>
      </c>
      <c r="H9" s="17">
        <v>1600</v>
      </c>
      <c r="I9" s="17">
        <v>1600</v>
      </c>
      <c r="J9" s="17">
        <v>1600</v>
      </c>
      <c r="K9" s="17">
        <v>1600</v>
      </c>
      <c r="L9" s="17">
        <v>1600</v>
      </c>
      <c r="M9" s="17">
        <v>1600</v>
      </c>
    </row>
    <row r="10" spans="1:13" ht="15.75" customHeight="1" x14ac:dyDescent="0.25">
      <c r="A10" s="36" t="s">
        <v>38</v>
      </c>
      <c r="B10" s="17">
        <v>222.06</v>
      </c>
      <c r="C10" s="17">
        <v>98.96</v>
      </c>
      <c r="D10" s="17">
        <v>134.80000000000001</v>
      </c>
      <c r="E10" s="17">
        <v>60.89</v>
      </c>
      <c r="F10" s="17">
        <v>0</v>
      </c>
      <c r="G10" s="17">
        <v>854.55</v>
      </c>
      <c r="H10" s="17">
        <v>539.66999999999996</v>
      </c>
      <c r="I10" s="17">
        <v>553.87</v>
      </c>
      <c r="J10" s="17">
        <v>424.76</v>
      </c>
      <c r="K10" s="17">
        <v>606.41999999999996</v>
      </c>
      <c r="L10" s="17">
        <v>539.78</v>
      </c>
      <c r="M10" s="17">
        <v>0</v>
      </c>
    </row>
    <row r="11" spans="1:13" ht="15.75" customHeight="1" x14ac:dyDescent="0.25">
      <c r="A11" s="36" t="s">
        <v>43</v>
      </c>
      <c r="B11" s="17">
        <v>131.84</v>
      </c>
      <c r="C11" s="17">
        <v>67.48</v>
      </c>
      <c r="D11" s="17">
        <v>67.48</v>
      </c>
      <c r="E11" s="17">
        <v>0</v>
      </c>
      <c r="F11" s="17">
        <v>65.38</v>
      </c>
      <c r="G11" s="17">
        <v>129.68</v>
      </c>
      <c r="H11" s="17">
        <v>132.61000000000001</v>
      </c>
      <c r="I11" s="17">
        <v>0</v>
      </c>
      <c r="J11" s="17">
        <v>0</v>
      </c>
      <c r="K11" s="17">
        <v>420.05000000000007</v>
      </c>
      <c r="L11" s="17">
        <v>0</v>
      </c>
      <c r="M11" s="17">
        <v>196.52</v>
      </c>
    </row>
    <row r="12" spans="1:13" ht="15.75" customHeight="1" x14ac:dyDescent="0.25">
      <c r="A12" s="36" t="s">
        <v>39</v>
      </c>
      <c r="B12" s="17">
        <v>3360</v>
      </c>
      <c r="C12" s="17">
        <v>5360</v>
      </c>
      <c r="D12" s="17">
        <v>7730</v>
      </c>
      <c r="E12" s="17">
        <v>4200</v>
      </c>
      <c r="F12" s="17">
        <v>5500</v>
      </c>
      <c r="G12" s="17">
        <v>9950</v>
      </c>
      <c r="H12" s="17">
        <v>4200</v>
      </c>
      <c r="I12" s="17">
        <v>3467</v>
      </c>
      <c r="J12" s="17">
        <v>250</v>
      </c>
      <c r="K12" s="17">
        <v>5530</v>
      </c>
      <c r="L12" s="17">
        <v>5000</v>
      </c>
      <c r="M12" s="17">
        <v>4000</v>
      </c>
    </row>
    <row r="13" spans="1:13" ht="15.75" customHeight="1" x14ac:dyDescent="0.25">
      <c r="A13" s="36" t="s">
        <v>48</v>
      </c>
      <c r="B13" s="17">
        <v>1540</v>
      </c>
      <c r="C13" s="17">
        <v>700</v>
      </c>
      <c r="D13" s="17">
        <v>0</v>
      </c>
      <c r="E13" s="17">
        <v>770</v>
      </c>
      <c r="F13" s="17">
        <v>0</v>
      </c>
      <c r="G13" s="17">
        <v>0</v>
      </c>
      <c r="H13" s="17">
        <v>1740</v>
      </c>
      <c r="I13" s="17">
        <v>171.07</v>
      </c>
      <c r="J13" s="17">
        <v>0</v>
      </c>
      <c r="K13" s="17">
        <v>325</v>
      </c>
      <c r="L13" s="17">
        <v>1189.9000000000001</v>
      </c>
      <c r="M13" s="17">
        <v>0</v>
      </c>
    </row>
    <row r="14" spans="1:13" ht="15.75" customHeight="1" x14ac:dyDescent="0.25">
      <c r="A14" s="36" t="s">
        <v>40</v>
      </c>
      <c r="B14" s="17">
        <v>15</v>
      </c>
      <c r="C14" s="17">
        <v>0</v>
      </c>
      <c r="D14" s="17">
        <v>125.05</v>
      </c>
      <c r="E14" s="17">
        <v>274.39999999999998</v>
      </c>
      <c r="F14" s="17">
        <v>175.91</v>
      </c>
      <c r="G14" s="17">
        <v>66.05</v>
      </c>
      <c r="H14" s="17">
        <v>61.55</v>
      </c>
      <c r="I14" s="17">
        <v>584.66999999999996</v>
      </c>
      <c r="J14" s="17">
        <v>0</v>
      </c>
      <c r="K14" s="17">
        <v>279.87</v>
      </c>
      <c r="L14" s="17">
        <v>60.45</v>
      </c>
      <c r="M14" s="17">
        <v>251.19</v>
      </c>
    </row>
    <row r="15" spans="1:13" ht="15.75" customHeight="1" x14ac:dyDescent="0.25">
      <c r="A15" s="36" t="s">
        <v>42</v>
      </c>
      <c r="B15" s="17">
        <v>3900</v>
      </c>
      <c r="C15" s="17">
        <v>3900</v>
      </c>
      <c r="D15" s="17">
        <v>3900</v>
      </c>
      <c r="E15" s="17">
        <v>3900</v>
      </c>
      <c r="F15" s="17">
        <v>3900</v>
      </c>
      <c r="G15" s="17">
        <v>4900</v>
      </c>
      <c r="H15" s="17">
        <v>4900</v>
      </c>
      <c r="I15" s="17">
        <v>4900</v>
      </c>
      <c r="J15" s="17">
        <v>4900</v>
      </c>
      <c r="K15" s="17">
        <v>4900</v>
      </c>
      <c r="L15" s="17">
        <v>5600</v>
      </c>
      <c r="M15" s="17">
        <v>3900</v>
      </c>
    </row>
    <row r="16" spans="1:13" ht="15.75" customHeight="1" x14ac:dyDescent="0.25">
      <c r="A16" s="36" t="s">
        <v>45</v>
      </c>
      <c r="B16" s="17">
        <v>728.5</v>
      </c>
      <c r="C16" s="17">
        <v>653.5</v>
      </c>
      <c r="D16" s="17">
        <v>680.61</v>
      </c>
      <c r="E16" s="17">
        <v>820.61</v>
      </c>
      <c r="F16" s="17">
        <v>840.54</v>
      </c>
      <c r="G16" s="17">
        <v>820.61</v>
      </c>
      <c r="H16" s="17">
        <v>820.61</v>
      </c>
      <c r="I16" s="17">
        <v>820.61</v>
      </c>
      <c r="J16" s="17">
        <v>0</v>
      </c>
      <c r="K16" s="17">
        <v>842.41</v>
      </c>
      <c r="L16" s="17">
        <v>1665.62</v>
      </c>
      <c r="M16" s="17">
        <v>739.32</v>
      </c>
    </row>
    <row r="17" spans="1:13" ht="12.75" customHeight="1" x14ac:dyDescent="0.25">
      <c r="A17" s="36" t="s">
        <v>6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2900</v>
      </c>
    </row>
    <row r="18" spans="1:13" ht="13.5" customHeight="1" x14ac:dyDescent="0.25">
      <c r="A18" s="36" t="s">
        <v>50</v>
      </c>
      <c r="B18" s="17">
        <v>0</v>
      </c>
      <c r="C18" s="17">
        <v>1540</v>
      </c>
      <c r="D18" s="17">
        <v>1809</v>
      </c>
      <c r="E18" s="17">
        <v>1620</v>
      </c>
      <c r="F18" s="17">
        <v>1700</v>
      </c>
      <c r="G18" s="17">
        <v>1552</v>
      </c>
      <c r="H18" s="17">
        <v>1831.95</v>
      </c>
      <c r="I18" s="17">
        <v>1552</v>
      </c>
      <c r="J18" s="17">
        <v>1615.7</v>
      </c>
      <c r="K18" s="17">
        <v>1615.7</v>
      </c>
      <c r="L18" s="17">
        <v>1609</v>
      </c>
      <c r="M18" s="17">
        <v>1890</v>
      </c>
    </row>
    <row r="19" spans="1:13" ht="15.75" customHeight="1" x14ac:dyDescent="0.25">
      <c r="A19" s="36" t="s">
        <v>49</v>
      </c>
      <c r="B19" s="17">
        <v>12</v>
      </c>
      <c r="C19" s="17">
        <v>59.28</v>
      </c>
      <c r="D19" s="17">
        <v>177.38</v>
      </c>
      <c r="E19" s="17">
        <v>28.51</v>
      </c>
      <c r="F19" s="17">
        <v>0</v>
      </c>
      <c r="G19" s="17">
        <v>2631</v>
      </c>
      <c r="H19" s="17">
        <v>26</v>
      </c>
      <c r="I19" s="17">
        <v>82</v>
      </c>
      <c r="J19" s="17">
        <v>51.5</v>
      </c>
      <c r="K19" s="17">
        <v>1194.96</v>
      </c>
      <c r="L19" s="17">
        <v>1225.6500000000001</v>
      </c>
      <c r="M19" s="17">
        <v>0</v>
      </c>
    </row>
    <row r="20" spans="1:13" ht="15.75" customHeight="1" x14ac:dyDescent="0.25">
      <c r="A20" s="36" t="s">
        <v>52</v>
      </c>
      <c r="B20" s="17">
        <v>0</v>
      </c>
      <c r="C20" s="17">
        <v>1956.77</v>
      </c>
      <c r="D20" s="17">
        <v>1956.77</v>
      </c>
      <c r="E20" s="17">
        <v>1956.77</v>
      </c>
      <c r="F20" s="17">
        <v>0</v>
      </c>
      <c r="G20" s="17">
        <v>1956.77</v>
      </c>
      <c r="H20" s="17">
        <v>2331.6999999999998</v>
      </c>
      <c r="I20" s="17">
        <v>2203.7600000000002</v>
      </c>
      <c r="J20" s="17">
        <v>2331.6999999999998</v>
      </c>
      <c r="K20" s="17">
        <v>2038.79</v>
      </c>
      <c r="L20" s="17">
        <v>2003.01</v>
      </c>
      <c r="M20" s="17">
        <v>2333.3200000000002</v>
      </c>
    </row>
    <row r="21" spans="1:13" ht="15.75" customHeight="1" x14ac:dyDescent="0.25">
      <c r="A21" s="36" t="s">
        <v>54</v>
      </c>
      <c r="B21" s="17">
        <v>0</v>
      </c>
      <c r="C21" s="17">
        <v>0</v>
      </c>
      <c r="D21" s="17">
        <v>3056</v>
      </c>
      <c r="E21" s="17">
        <v>0</v>
      </c>
      <c r="F21" s="17">
        <v>0</v>
      </c>
      <c r="G21" s="17">
        <v>208.44</v>
      </c>
      <c r="H21" s="17">
        <v>0</v>
      </c>
      <c r="I21" s="17">
        <v>119.52</v>
      </c>
      <c r="J21" s="17">
        <v>167.33</v>
      </c>
      <c r="K21" s="17">
        <v>0</v>
      </c>
      <c r="L21" s="17">
        <v>140.24</v>
      </c>
      <c r="M21" s="17">
        <v>150</v>
      </c>
    </row>
    <row r="22" spans="1:13" ht="15.75" customHeight="1" x14ac:dyDescent="0.25">
      <c r="A22" s="36" t="s">
        <v>53</v>
      </c>
      <c r="B22" s="17">
        <v>461.97</v>
      </c>
      <c r="C22" s="17">
        <v>6562.98</v>
      </c>
      <c r="D22" s="17">
        <v>1968</v>
      </c>
      <c r="E22" s="17">
        <v>1285</v>
      </c>
      <c r="F22" s="17">
        <v>546.27</v>
      </c>
      <c r="G22" s="17">
        <v>3694.34</v>
      </c>
      <c r="H22" s="17">
        <v>715.72</v>
      </c>
      <c r="I22" s="17">
        <v>2277.5100000000002</v>
      </c>
      <c r="J22" s="17">
        <v>2586.41</v>
      </c>
      <c r="K22" s="17">
        <v>1364.59</v>
      </c>
      <c r="L22" s="17">
        <v>3364.81</v>
      </c>
      <c r="M22" s="17">
        <v>2043.17</v>
      </c>
    </row>
    <row r="23" spans="1:13" ht="15.75" customHeight="1" x14ac:dyDescent="0.25">
      <c r="A23" s="36" t="s">
        <v>55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38704</v>
      </c>
      <c r="I23" s="17">
        <v>0</v>
      </c>
      <c r="J23" s="17">
        <v>8705</v>
      </c>
      <c r="K23" s="17">
        <v>0</v>
      </c>
      <c r="L23" s="17">
        <v>0</v>
      </c>
      <c r="M23" s="17">
        <v>0</v>
      </c>
    </row>
    <row r="24" spans="1:13" ht="28.5" customHeight="1" x14ac:dyDescent="0.25">
      <c r="A24" s="36" t="s">
        <v>23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9933.58</v>
      </c>
      <c r="I24" s="17">
        <v>0</v>
      </c>
      <c r="J24" s="17">
        <v>3533.58</v>
      </c>
      <c r="K24" s="17">
        <v>8753.58</v>
      </c>
      <c r="L24" s="17">
        <v>2533.58</v>
      </c>
      <c r="M24" s="17">
        <v>2533.58</v>
      </c>
    </row>
    <row r="25" spans="1:13" ht="15.75" customHeight="1" x14ac:dyDescent="0.25">
      <c r="A25" s="36" t="s">
        <v>9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</row>
    <row r="26" spans="1:13" ht="15.75" customHeight="1" x14ac:dyDescent="0.25">
      <c r="A26" s="36" t="s">
        <v>56</v>
      </c>
      <c r="B26" s="24">
        <v>0</v>
      </c>
      <c r="C26" s="24">
        <v>1950.61</v>
      </c>
      <c r="D26" s="24">
        <v>889.02</v>
      </c>
      <c r="E26" s="24">
        <v>0</v>
      </c>
      <c r="F26" s="24">
        <v>0</v>
      </c>
      <c r="G26" s="24">
        <v>223.21</v>
      </c>
      <c r="H26" s="24">
        <v>1051.42</v>
      </c>
      <c r="I26" s="24">
        <v>3647.99</v>
      </c>
      <c r="J26" s="24">
        <v>0</v>
      </c>
      <c r="K26" s="24">
        <v>0</v>
      </c>
      <c r="L26" s="24">
        <v>0</v>
      </c>
      <c r="M26" s="24">
        <v>481.44</v>
      </c>
    </row>
    <row r="27" spans="1:13" ht="15.75" customHeight="1" x14ac:dyDescent="0.25">
      <c r="A27" s="36" t="s">
        <v>46</v>
      </c>
      <c r="B27" s="24">
        <v>18692</v>
      </c>
      <c r="C27" s="24">
        <v>18910</v>
      </c>
      <c r="D27" s="24">
        <v>24026</v>
      </c>
      <c r="E27" s="24">
        <v>22500</v>
      </c>
      <c r="F27" s="24">
        <v>18499</v>
      </c>
      <c r="G27" s="24">
        <v>32198</v>
      </c>
      <c r="H27" s="24">
        <v>0</v>
      </c>
      <c r="I27" s="24">
        <v>30456.6</v>
      </c>
      <c r="J27" s="24">
        <v>21380</v>
      </c>
      <c r="K27" s="24">
        <v>15604</v>
      </c>
      <c r="L27" s="24">
        <v>43405</v>
      </c>
      <c r="M27" s="24">
        <v>19296.41</v>
      </c>
    </row>
    <row r="28" spans="1:13" ht="15.75" customHeight="1" x14ac:dyDescent="0.25">
      <c r="A28" s="36" t="s">
        <v>58</v>
      </c>
      <c r="B28" s="24">
        <v>1286.3</v>
      </c>
      <c r="C28" s="24">
        <v>1286.3</v>
      </c>
      <c r="D28" s="24">
        <v>1037.7</v>
      </c>
      <c r="E28" s="24">
        <v>934.6</v>
      </c>
      <c r="F28" s="24">
        <v>1119.5</v>
      </c>
      <c r="G28" s="24">
        <v>934.6</v>
      </c>
      <c r="H28" s="24">
        <v>1277.99</v>
      </c>
      <c r="I28" s="24">
        <v>933.99</v>
      </c>
      <c r="J28" s="24">
        <v>491.89</v>
      </c>
      <c r="K28" s="24">
        <v>811.86</v>
      </c>
      <c r="L28" s="24">
        <v>877.58</v>
      </c>
      <c r="M28" s="24">
        <v>3192.2</v>
      </c>
    </row>
  </sheetData>
  <pageMargins left="0.59055118110236227" right="0.59055118110236227" top="0.78740157480314965" bottom="0.59055118110236227" header="0.51181102362204722" footer="0.51181102362204722"/>
  <pageSetup paperSize="9"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B3A6-8076-4327-ADE3-2DF184FA0771}">
  <dimension ref="A1:B28"/>
  <sheetViews>
    <sheetView topLeftCell="A13" workbookViewId="0">
      <selection activeCell="I26" sqref="I26"/>
    </sheetView>
  </sheetViews>
  <sheetFormatPr defaultRowHeight="15.6" x14ac:dyDescent="0.3"/>
  <cols>
    <col min="1" max="1" width="37.69921875" customWidth="1"/>
  </cols>
  <sheetData>
    <row r="1" spans="1:2" x14ac:dyDescent="0.3">
      <c r="A1" t="s">
        <v>60</v>
      </c>
    </row>
    <row r="2" spans="1:2" x14ac:dyDescent="0.3">
      <c r="A2" t="s">
        <v>59</v>
      </c>
      <c r="B2" t="s">
        <v>61</v>
      </c>
    </row>
    <row r="3" spans="1:2" x14ac:dyDescent="0.3">
      <c r="A3" t="s">
        <v>17</v>
      </c>
      <c r="B3" t="s">
        <v>5</v>
      </c>
    </row>
    <row r="4" spans="1:2" x14ac:dyDescent="0.3">
      <c r="A4" t="s">
        <v>18</v>
      </c>
      <c r="B4" t="s">
        <v>64</v>
      </c>
    </row>
    <row r="5" spans="1:2" x14ac:dyDescent="0.3">
      <c r="A5" t="s">
        <v>44</v>
      </c>
      <c r="B5" t="s">
        <v>20</v>
      </c>
    </row>
    <row r="6" spans="1:2" x14ac:dyDescent="0.3">
      <c r="A6" t="s">
        <v>47</v>
      </c>
      <c r="B6" t="s">
        <v>20</v>
      </c>
    </row>
    <row r="7" spans="1:2" x14ac:dyDescent="0.3">
      <c r="A7" t="s">
        <v>51</v>
      </c>
      <c r="B7" t="s">
        <v>20</v>
      </c>
    </row>
    <row r="8" spans="1:2" x14ac:dyDescent="0.3">
      <c r="A8" t="s">
        <v>19</v>
      </c>
      <c r="B8" t="s">
        <v>20</v>
      </c>
    </row>
    <row r="9" spans="1:2" x14ac:dyDescent="0.3">
      <c r="A9" t="s">
        <v>37</v>
      </c>
      <c r="B9" t="s">
        <v>57</v>
      </c>
    </row>
    <row r="10" spans="1:2" x14ac:dyDescent="0.3">
      <c r="A10" t="s">
        <v>38</v>
      </c>
      <c r="B10" t="s">
        <v>57</v>
      </c>
    </row>
    <row r="11" spans="1:2" x14ac:dyDescent="0.3">
      <c r="A11" t="s">
        <v>43</v>
      </c>
      <c r="B11" t="s">
        <v>57</v>
      </c>
    </row>
    <row r="12" spans="1:2" x14ac:dyDescent="0.3">
      <c r="A12" t="s">
        <v>39</v>
      </c>
      <c r="B12" t="s">
        <v>57</v>
      </c>
    </row>
    <row r="13" spans="1:2" x14ac:dyDescent="0.3">
      <c r="A13" t="s">
        <v>48</v>
      </c>
      <c r="B13" t="s">
        <v>57</v>
      </c>
    </row>
    <row r="14" spans="1:2" x14ac:dyDescent="0.3">
      <c r="A14" t="s">
        <v>40</v>
      </c>
      <c r="B14" t="s">
        <v>57</v>
      </c>
    </row>
    <row r="15" spans="1:2" x14ac:dyDescent="0.3">
      <c r="A15" t="s">
        <v>42</v>
      </c>
      <c r="B15" t="s">
        <v>57</v>
      </c>
    </row>
    <row r="16" spans="1:2" x14ac:dyDescent="0.3">
      <c r="A16" t="s">
        <v>45</v>
      </c>
      <c r="B16" t="s">
        <v>57</v>
      </c>
    </row>
    <row r="17" spans="1:2" x14ac:dyDescent="0.3">
      <c r="A17" t="s">
        <v>6</v>
      </c>
      <c r="B17" t="s">
        <v>57</v>
      </c>
    </row>
    <row r="18" spans="1:2" x14ac:dyDescent="0.3">
      <c r="A18" t="s">
        <v>50</v>
      </c>
      <c r="B18" t="s">
        <v>57</v>
      </c>
    </row>
    <row r="19" spans="1:2" x14ac:dyDescent="0.3">
      <c r="A19" t="s">
        <v>49</v>
      </c>
      <c r="B19" t="s">
        <v>57</v>
      </c>
    </row>
    <row r="20" spans="1:2" x14ac:dyDescent="0.3">
      <c r="A20" t="s">
        <v>52</v>
      </c>
      <c r="B20" t="s">
        <v>57</v>
      </c>
    </row>
    <row r="21" spans="1:2" x14ac:dyDescent="0.3">
      <c r="A21" t="s">
        <v>54</v>
      </c>
      <c r="B21" t="s">
        <v>57</v>
      </c>
    </row>
    <row r="22" spans="1:2" x14ac:dyDescent="0.3">
      <c r="A22" t="s">
        <v>53</v>
      </c>
      <c r="B22" t="s">
        <v>57</v>
      </c>
    </row>
    <row r="23" spans="1:2" x14ac:dyDescent="0.3">
      <c r="A23" t="s">
        <v>55</v>
      </c>
      <c r="B23" t="s">
        <v>57</v>
      </c>
    </row>
    <row r="24" spans="1:2" x14ac:dyDescent="0.3">
      <c r="A24" t="s">
        <v>23</v>
      </c>
      <c r="B24" t="s">
        <v>57</v>
      </c>
    </row>
    <row r="25" spans="1:2" x14ac:dyDescent="0.3">
      <c r="A25" t="s">
        <v>9</v>
      </c>
      <c r="B25" t="s">
        <v>62</v>
      </c>
    </row>
    <row r="26" spans="1:2" x14ac:dyDescent="0.3">
      <c r="A26" t="s">
        <v>56</v>
      </c>
      <c r="B26" t="s">
        <v>62</v>
      </c>
    </row>
    <row r="27" spans="1:2" x14ac:dyDescent="0.3">
      <c r="A27" t="s">
        <v>46</v>
      </c>
      <c r="B27" t="s">
        <v>62</v>
      </c>
    </row>
    <row r="28" spans="1:2" x14ac:dyDescent="0.3">
      <c r="A28" t="s">
        <v>58</v>
      </c>
      <c r="B28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F1D8-5D98-4066-AD3A-94894AA2F155}">
  <dimension ref="A1:AC41"/>
  <sheetViews>
    <sheetView tabSelected="1" workbookViewId="0">
      <pane xSplit="2" ySplit="3" topLeftCell="N25" activePane="bottomRight" state="frozen"/>
      <selection pane="topRight" activeCell="C1" sqref="C1"/>
      <selection pane="bottomLeft" activeCell="A4" sqref="A4"/>
      <selection pane="bottomRight" activeCell="AA41" sqref="AA41"/>
    </sheetView>
  </sheetViews>
  <sheetFormatPr defaultColWidth="9" defaultRowHeight="13.8" x14ac:dyDescent="0.25"/>
  <cols>
    <col min="1" max="1" width="8" style="27" bestFit="1" customWidth="1"/>
    <col min="2" max="2" width="19.296875" style="27" customWidth="1"/>
    <col min="3" max="3" width="12.09765625" style="27" bestFit="1" customWidth="1"/>
    <col min="4" max="4" width="9" style="27"/>
    <col min="5" max="5" width="9.69921875" style="14" bestFit="1" customWidth="1"/>
    <col min="6" max="12" width="9" style="14"/>
    <col min="13" max="13" width="9.69921875" style="14" bestFit="1" customWidth="1"/>
    <col min="14" max="26" width="9" style="14"/>
    <col min="27" max="27" width="19" style="14" customWidth="1"/>
    <col min="28" max="16384" width="9" style="14"/>
  </cols>
  <sheetData>
    <row r="1" spans="1:28" x14ac:dyDescent="0.25">
      <c r="A1" s="43" t="s">
        <v>34</v>
      </c>
      <c r="B1" s="43"/>
      <c r="C1" s="44" t="s">
        <v>0</v>
      </c>
      <c r="D1" s="44"/>
      <c r="E1" s="44" t="s">
        <v>0</v>
      </c>
      <c r="F1" s="44"/>
      <c r="G1" s="44" t="s">
        <v>0</v>
      </c>
      <c r="H1" s="44"/>
      <c r="I1" s="44" t="s">
        <v>0</v>
      </c>
      <c r="J1" s="44"/>
      <c r="K1" s="44" t="s">
        <v>0</v>
      </c>
      <c r="L1" s="44"/>
      <c r="M1" s="44" t="s">
        <v>0</v>
      </c>
      <c r="N1" s="44"/>
      <c r="O1" s="44" t="s">
        <v>0</v>
      </c>
      <c r="P1" s="44"/>
      <c r="Q1" s="44" t="s">
        <v>0</v>
      </c>
      <c r="R1" s="44"/>
      <c r="S1" s="44" t="s">
        <v>0</v>
      </c>
      <c r="T1" s="44"/>
      <c r="U1" s="44" t="s">
        <v>0</v>
      </c>
      <c r="V1" s="44"/>
      <c r="W1" s="44" t="s">
        <v>0</v>
      </c>
      <c r="X1" s="44"/>
      <c r="Y1" s="44" t="s">
        <v>0</v>
      </c>
      <c r="Z1" s="44"/>
      <c r="AA1" s="44" t="s">
        <v>0</v>
      </c>
      <c r="AB1" s="44"/>
    </row>
    <row r="2" spans="1:28" s="30" customFormat="1" x14ac:dyDescent="0.25">
      <c r="A2" s="43"/>
      <c r="B2" s="43"/>
      <c r="C2" s="45">
        <v>45658</v>
      </c>
      <c r="D2" s="45"/>
      <c r="E2" s="45">
        <v>45689</v>
      </c>
      <c r="F2" s="49"/>
      <c r="G2" s="45">
        <v>45717</v>
      </c>
      <c r="H2" s="49"/>
      <c r="I2" s="45">
        <v>45748</v>
      </c>
      <c r="J2" s="49"/>
      <c r="K2" s="45">
        <v>45047</v>
      </c>
      <c r="L2" s="49"/>
      <c r="M2" s="45">
        <v>45809</v>
      </c>
      <c r="N2" s="49"/>
      <c r="O2" s="45">
        <v>45839</v>
      </c>
      <c r="P2" s="49"/>
      <c r="Q2" s="45">
        <v>45870</v>
      </c>
      <c r="R2" s="49"/>
      <c r="S2" s="45">
        <v>45901</v>
      </c>
      <c r="T2" s="49"/>
      <c r="U2" s="45">
        <v>45931</v>
      </c>
      <c r="V2" s="49"/>
      <c r="W2" s="45">
        <v>45962</v>
      </c>
      <c r="X2" s="49"/>
      <c r="Y2" s="45">
        <v>45992</v>
      </c>
      <c r="Z2" s="49"/>
      <c r="AA2" s="45" t="s">
        <v>35</v>
      </c>
      <c r="AB2" s="49"/>
    </row>
    <row r="3" spans="1:28" x14ac:dyDescent="0.25">
      <c r="A3" s="43"/>
      <c r="B3" s="43"/>
      <c r="C3" s="13" t="s">
        <v>1</v>
      </c>
      <c r="D3" s="13" t="s">
        <v>2</v>
      </c>
      <c r="E3" s="13" t="s">
        <v>1</v>
      </c>
      <c r="F3" s="13" t="s">
        <v>2</v>
      </c>
      <c r="G3" s="13" t="s">
        <v>1</v>
      </c>
      <c r="H3" s="13" t="s">
        <v>2</v>
      </c>
      <c r="I3" s="13" t="s">
        <v>1</v>
      </c>
      <c r="J3" s="13" t="s">
        <v>2</v>
      </c>
      <c r="K3" s="13" t="s">
        <v>1</v>
      </c>
      <c r="L3" s="13" t="s">
        <v>2</v>
      </c>
      <c r="M3" s="13" t="s">
        <v>1</v>
      </c>
      <c r="N3" s="13" t="s">
        <v>2</v>
      </c>
      <c r="O3" s="13" t="s">
        <v>1</v>
      </c>
      <c r="P3" s="13" t="s">
        <v>2</v>
      </c>
      <c r="Q3" s="13" t="s">
        <v>1</v>
      </c>
      <c r="R3" s="13" t="s">
        <v>2</v>
      </c>
      <c r="S3" s="13" t="s">
        <v>1</v>
      </c>
      <c r="T3" s="13" t="s">
        <v>2</v>
      </c>
      <c r="U3" s="13" t="s">
        <v>1</v>
      </c>
      <c r="V3" s="13" t="s">
        <v>2</v>
      </c>
      <c r="W3" s="13" t="s">
        <v>1</v>
      </c>
      <c r="X3" s="13" t="s">
        <v>2</v>
      </c>
      <c r="Y3" s="13" t="s">
        <v>1</v>
      </c>
      <c r="Z3" s="13" t="s">
        <v>2</v>
      </c>
      <c r="AA3" s="13" t="s">
        <v>1</v>
      </c>
      <c r="AB3" s="13" t="s">
        <v>2</v>
      </c>
    </row>
    <row r="4" spans="1:28" x14ac:dyDescent="0.25">
      <c r="A4" s="28" t="s">
        <v>36</v>
      </c>
      <c r="B4" s="28"/>
      <c r="C4" s="15">
        <f>C5+C6</f>
        <v>50535</v>
      </c>
      <c r="D4" s="16">
        <v>1</v>
      </c>
      <c r="E4" s="15">
        <f>E5+E6</f>
        <v>133317.28</v>
      </c>
      <c r="F4" s="16">
        <v>1</v>
      </c>
      <c r="G4" s="15">
        <f>G5+G6</f>
        <v>43466.55</v>
      </c>
      <c r="H4" s="16">
        <v>1</v>
      </c>
      <c r="I4" s="15">
        <f>I5+I6</f>
        <v>35081.919999999998</v>
      </c>
      <c r="J4" s="16">
        <v>1</v>
      </c>
      <c r="K4" s="15">
        <f>K5+K6</f>
        <v>60524.01</v>
      </c>
      <c r="L4" s="16">
        <v>1</v>
      </c>
      <c r="M4" s="15">
        <f>M5+M6</f>
        <v>111734.55</v>
      </c>
      <c r="N4" s="16">
        <v>1</v>
      </c>
      <c r="O4" s="15">
        <f>O5+O6</f>
        <v>79884.34</v>
      </c>
      <c r="P4" s="16">
        <v>1</v>
      </c>
      <c r="Q4" s="15">
        <f>Q5+Q6</f>
        <v>183847.11</v>
      </c>
      <c r="R4" s="16">
        <v>1</v>
      </c>
      <c r="S4" s="15">
        <f>S5+S6</f>
        <v>83165.509999999995</v>
      </c>
      <c r="T4" s="16">
        <v>1</v>
      </c>
      <c r="U4" s="15">
        <f>U5+U6</f>
        <v>59932.43</v>
      </c>
      <c r="V4" s="16">
        <v>1</v>
      </c>
      <c r="W4" s="15">
        <f>W5+W6</f>
        <v>149411.69</v>
      </c>
      <c r="X4" s="16">
        <v>1</v>
      </c>
      <c r="Y4" s="15">
        <f>Y5+Y6</f>
        <v>74145.34</v>
      </c>
      <c r="Z4" s="16">
        <v>1</v>
      </c>
      <c r="AA4" s="15">
        <f>AA5+AA6</f>
        <v>1065045.7300000002</v>
      </c>
      <c r="AB4" s="16">
        <v>1</v>
      </c>
    </row>
    <row r="5" spans="1:28" x14ac:dyDescent="0.25">
      <c r="A5" s="46"/>
      <c r="B5" s="46"/>
      <c r="C5" s="17"/>
      <c r="D5" s="18"/>
      <c r="E5" s="17"/>
      <c r="F5" s="18"/>
      <c r="G5" s="17"/>
      <c r="H5" s="18"/>
      <c r="I5" s="17"/>
      <c r="J5" s="18"/>
      <c r="K5" s="17"/>
      <c r="L5" s="18"/>
      <c r="M5" s="17"/>
      <c r="N5" s="18"/>
      <c r="O5" s="17"/>
      <c r="P5" s="18"/>
      <c r="Q5" s="17"/>
      <c r="R5" s="18"/>
      <c r="S5" s="17"/>
      <c r="T5" s="18"/>
      <c r="U5" s="17"/>
      <c r="V5" s="18"/>
      <c r="W5" s="17"/>
      <c r="X5" s="18"/>
      <c r="Y5" s="17"/>
      <c r="Z5" s="18"/>
      <c r="AA5" s="17"/>
      <c r="AB5" s="18"/>
    </row>
    <row r="6" spans="1:28" ht="13.5" customHeight="1" x14ac:dyDescent="0.25">
      <c r="A6" s="46" t="s">
        <v>21</v>
      </c>
      <c r="B6" s="46"/>
      <c r="C6" s="17">
        <v>50535</v>
      </c>
      <c r="D6" s="18">
        <f t="shared" ref="D6:D39" si="0">C6/C$4</f>
        <v>1</v>
      </c>
      <c r="E6" s="17">
        <v>133317.28</v>
      </c>
      <c r="F6" s="18">
        <f t="shared" ref="F6:F39" si="1">E6/E$4</f>
        <v>1</v>
      </c>
      <c r="G6" s="17">
        <v>43466.55</v>
      </c>
      <c r="H6" s="18">
        <f t="shared" ref="H6:H39" si="2">G6/G$4</f>
        <v>1</v>
      </c>
      <c r="I6" s="17">
        <v>35081.919999999998</v>
      </c>
      <c r="J6" s="18">
        <f t="shared" ref="J6:J39" si="3">I6/I$4</f>
        <v>1</v>
      </c>
      <c r="K6" s="17">
        <v>60524.01</v>
      </c>
      <c r="L6" s="18">
        <f t="shared" ref="L6:L39" si="4">K6/K$4</f>
        <v>1</v>
      </c>
      <c r="M6" s="17">
        <v>111734.55</v>
      </c>
      <c r="N6" s="18">
        <f t="shared" ref="N6:N39" si="5">M6/M$4</f>
        <v>1</v>
      </c>
      <c r="O6" s="17">
        <v>79884.34</v>
      </c>
      <c r="P6" s="18">
        <f t="shared" ref="P6:P39" si="6">O6/O$4</f>
        <v>1</v>
      </c>
      <c r="Q6" s="17">
        <v>183847.11</v>
      </c>
      <c r="R6" s="18">
        <f t="shared" ref="R6:R39" si="7">Q6/Q$4</f>
        <v>1</v>
      </c>
      <c r="S6" s="17">
        <v>83165.509999999995</v>
      </c>
      <c r="T6" s="18">
        <f t="shared" ref="T6:T39" si="8">S6/S$4</f>
        <v>1</v>
      </c>
      <c r="U6" s="17">
        <v>59932.43</v>
      </c>
      <c r="V6" s="18">
        <f t="shared" ref="V6:V39" si="9">U6/U$4</f>
        <v>1</v>
      </c>
      <c r="W6" s="17">
        <v>149411.69</v>
      </c>
      <c r="X6" s="18">
        <f t="shared" ref="X6:X39" si="10">W6/W$4</f>
        <v>1</v>
      </c>
      <c r="Y6" s="17">
        <v>74145.34</v>
      </c>
      <c r="Z6" s="18">
        <f t="shared" ref="Z6:Z39" si="11">Y6/Y$4</f>
        <v>1</v>
      </c>
      <c r="AA6" s="17">
        <f>C6+E6+G6+I6+K6+M6+O6+Q6+S6+U6+W6+Y6</f>
        <v>1065045.7300000002</v>
      </c>
      <c r="AB6" s="18">
        <f t="shared" ref="AB6:AB39" si="12">AA6/AA$4</f>
        <v>1</v>
      </c>
    </row>
    <row r="7" spans="1:28" ht="27" customHeight="1" x14ac:dyDescent="0.25">
      <c r="A7" s="42" t="s">
        <v>4</v>
      </c>
      <c r="B7" s="42"/>
      <c r="C7" s="15">
        <f>C8+C11</f>
        <v>14222</v>
      </c>
      <c r="D7" s="19">
        <f t="shared" si="0"/>
        <v>0.28142871277332543</v>
      </c>
      <c r="E7" s="15">
        <f>E8+E11</f>
        <v>74288.91</v>
      </c>
      <c r="F7" s="19">
        <f t="shared" si="1"/>
        <v>0.55723391596348204</v>
      </c>
      <c r="G7" s="15">
        <f>G8+G11</f>
        <v>9026.84</v>
      </c>
      <c r="H7" s="19">
        <f t="shared" si="2"/>
        <v>0.20767325679171683</v>
      </c>
      <c r="I7" s="15">
        <f>I8+I11</f>
        <v>14730.35</v>
      </c>
      <c r="J7" s="19">
        <f t="shared" si="3"/>
        <v>0.41988437348925034</v>
      </c>
      <c r="K7" s="15">
        <f>K8+K11</f>
        <v>16892.080000000002</v>
      </c>
      <c r="L7" s="19">
        <f t="shared" si="4"/>
        <v>0.27909717151920371</v>
      </c>
      <c r="M7" s="15">
        <f>M8+M11</f>
        <v>9311.1</v>
      </c>
      <c r="N7" s="19">
        <f t="shared" si="5"/>
        <v>8.3332326482721777E-2</v>
      </c>
      <c r="O7" s="15">
        <f>O8+O11</f>
        <v>38995.06</v>
      </c>
      <c r="P7" s="19">
        <f t="shared" si="6"/>
        <v>0.48814398416510668</v>
      </c>
      <c r="Q7" s="15">
        <f>Q8+Q11</f>
        <v>120531.2</v>
      </c>
      <c r="R7" s="19">
        <f t="shared" si="7"/>
        <v>0.65560562795901445</v>
      </c>
      <c r="S7" s="15">
        <f>S8+S11</f>
        <v>26506.57</v>
      </c>
      <c r="T7" s="19">
        <f t="shared" si="8"/>
        <v>0.31872070525389673</v>
      </c>
      <c r="U7" s="15">
        <f>U8+U11</f>
        <v>33105.910000000003</v>
      </c>
      <c r="V7" s="19">
        <f t="shared" si="9"/>
        <v>0.55238724677107209</v>
      </c>
      <c r="W7" s="15">
        <f>W8+W11</f>
        <v>59267.219999999994</v>
      </c>
      <c r="X7" s="19">
        <f t="shared" si="10"/>
        <v>0.39667056841402432</v>
      </c>
      <c r="Y7" s="15">
        <f>Y8+Y11</f>
        <v>43488.71</v>
      </c>
      <c r="Z7" s="19">
        <f t="shared" si="11"/>
        <v>0.58653328718972764</v>
      </c>
      <c r="AA7" s="15">
        <f>AA8+AA11</f>
        <v>460365.94999999995</v>
      </c>
      <c r="AB7" s="19">
        <f t="shared" si="12"/>
        <v>0.43224993728673028</v>
      </c>
    </row>
    <row r="8" spans="1:28" ht="28.5" customHeight="1" x14ac:dyDescent="0.25">
      <c r="A8" s="41" t="s">
        <v>5</v>
      </c>
      <c r="B8" s="41"/>
      <c r="C8" s="20">
        <f>C9+C10</f>
        <v>0</v>
      </c>
      <c r="D8" s="21">
        <f t="shared" si="0"/>
        <v>0</v>
      </c>
      <c r="E8" s="20">
        <f>E9+E10</f>
        <v>0</v>
      </c>
      <c r="F8" s="21">
        <f t="shared" si="1"/>
        <v>0</v>
      </c>
      <c r="G8" s="20">
        <f>G9+G10</f>
        <v>0</v>
      </c>
      <c r="H8" s="21">
        <f t="shared" si="2"/>
        <v>0</v>
      </c>
      <c r="I8" s="20">
        <f>I9+I10</f>
        <v>0</v>
      </c>
      <c r="J8" s="21">
        <f t="shared" si="3"/>
        <v>0</v>
      </c>
      <c r="K8" s="20">
        <f>K9+K10</f>
        <v>0</v>
      </c>
      <c r="L8" s="21">
        <f t="shared" si="4"/>
        <v>0</v>
      </c>
      <c r="M8" s="20">
        <f>M9+M10</f>
        <v>0</v>
      </c>
      <c r="N8" s="21">
        <f t="shared" si="5"/>
        <v>0</v>
      </c>
      <c r="O8" s="20">
        <f>O9+O10</f>
        <v>0</v>
      </c>
      <c r="P8" s="21">
        <f t="shared" si="6"/>
        <v>0</v>
      </c>
      <c r="Q8" s="20">
        <f>Q9+Q10</f>
        <v>0</v>
      </c>
      <c r="R8" s="21">
        <f t="shared" si="7"/>
        <v>0</v>
      </c>
      <c r="S8" s="20">
        <f>S9+S10</f>
        <v>0</v>
      </c>
      <c r="T8" s="21">
        <f t="shared" si="8"/>
        <v>0</v>
      </c>
      <c r="U8" s="20">
        <f>U9+U10</f>
        <v>0</v>
      </c>
      <c r="V8" s="21">
        <f t="shared" si="9"/>
        <v>0</v>
      </c>
      <c r="W8" s="20">
        <f>W9+W10</f>
        <v>0</v>
      </c>
      <c r="X8" s="21">
        <f t="shared" si="10"/>
        <v>0</v>
      </c>
      <c r="Y8" s="20">
        <f>Y9+Y10</f>
        <v>0</v>
      </c>
      <c r="Z8" s="21">
        <f t="shared" si="11"/>
        <v>0</v>
      </c>
      <c r="AA8" s="20">
        <f>AA9+AA10</f>
        <v>0</v>
      </c>
      <c r="AB8" s="21">
        <f t="shared" si="12"/>
        <v>0</v>
      </c>
    </row>
    <row r="9" spans="1:28" ht="15.75" customHeight="1" x14ac:dyDescent="0.25">
      <c r="A9" s="46" t="s">
        <v>17</v>
      </c>
      <c r="B9" s="46"/>
      <c r="C9" s="17">
        <v>0</v>
      </c>
      <c r="D9" s="18">
        <f t="shared" si="0"/>
        <v>0</v>
      </c>
      <c r="E9" s="17">
        <v>0</v>
      </c>
      <c r="F9" s="18">
        <f t="shared" si="1"/>
        <v>0</v>
      </c>
      <c r="G9" s="17">
        <v>0</v>
      </c>
      <c r="H9" s="18">
        <f t="shared" si="2"/>
        <v>0</v>
      </c>
      <c r="I9" s="17">
        <v>0</v>
      </c>
      <c r="J9" s="18">
        <f t="shared" si="3"/>
        <v>0</v>
      </c>
      <c r="K9" s="17">
        <v>0</v>
      </c>
      <c r="L9" s="18">
        <f t="shared" si="4"/>
        <v>0</v>
      </c>
      <c r="M9" s="17">
        <v>0</v>
      </c>
      <c r="N9" s="18">
        <f t="shared" si="5"/>
        <v>0</v>
      </c>
      <c r="O9" s="17">
        <v>0</v>
      </c>
      <c r="P9" s="18">
        <f t="shared" si="6"/>
        <v>0</v>
      </c>
      <c r="Q9" s="17">
        <v>0</v>
      </c>
      <c r="R9" s="18">
        <f t="shared" si="7"/>
        <v>0</v>
      </c>
      <c r="S9" s="17">
        <v>0</v>
      </c>
      <c r="T9" s="18">
        <f t="shared" si="8"/>
        <v>0</v>
      </c>
      <c r="U9" s="17">
        <v>0</v>
      </c>
      <c r="V9" s="18">
        <f t="shared" si="9"/>
        <v>0</v>
      </c>
      <c r="W9" s="17">
        <v>0</v>
      </c>
      <c r="X9" s="18">
        <f t="shared" si="10"/>
        <v>0</v>
      </c>
      <c r="Y9" s="17">
        <v>0</v>
      </c>
      <c r="Z9" s="18">
        <f t="shared" si="11"/>
        <v>0</v>
      </c>
      <c r="AA9" s="17">
        <v>0</v>
      </c>
      <c r="AB9" s="18">
        <f t="shared" si="12"/>
        <v>0</v>
      </c>
    </row>
    <row r="10" spans="1:28" ht="15.75" customHeight="1" x14ac:dyDescent="0.25">
      <c r="A10" s="46" t="s">
        <v>18</v>
      </c>
      <c r="B10" s="46"/>
      <c r="C10" s="17">
        <v>0</v>
      </c>
      <c r="D10" s="18">
        <f t="shared" si="0"/>
        <v>0</v>
      </c>
      <c r="E10" s="17">
        <v>0</v>
      </c>
      <c r="F10" s="18">
        <f t="shared" si="1"/>
        <v>0</v>
      </c>
      <c r="G10" s="17">
        <v>0</v>
      </c>
      <c r="H10" s="18">
        <f t="shared" si="2"/>
        <v>0</v>
      </c>
      <c r="I10" s="17">
        <v>0</v>
      </c>
      <c r="J10" s="18">
        <f t="shared" si="3"/>
        <v>0</v>
      </c>
      <c r="K10" s="17">
        <v>0</v>
      </c>
      <c r="L10" s="18">
        <f t="shared" si="4"/>
        <v>0</v>
      </c>
      <c r="M10" s="17">
        <v>0</v>
      </c>
      <c r="N10" s="18">
        <f t="shared" si="5"/>
        <v>0</v>
      </c>
      <c r="O10" s="17">
        <v>0</v>
      </c>
      <c r="P10" s="18">
        <f t="shared" si="6"/>
        <v>0</v>
      </c>
      <c r="Q10" s="17">
        <v>0</v>
      </c>
      <c r="R10" s="18">
        <f t="shared" si="7"/>
        <v>0</v>
      </c>
      <c r="S10" s="17">
        <v>0</v>
      </c>
      <c r="T10" s="18">
        <f t="shared" si="8"/>
        <v>0</v>
      </c>
      <c r="U10" s="17">
        <v>0</v>
      </c>
      <c r="V10" s="18">
        <f t="shared" si="9"/>
        <v>0</v>
      </c>
      <c r="W10" s="17">
        <v>0</v>
      </c>
      <c r="X10" s="18">
        <f t="shared" si="10"/>
        <v>0</v>
      </c>
      <c r="Y10" s="17">
        <v>0</v>
      </c>
      <c r="Z10" s="18">
        <f t="shared" si="11"/>
        <v>0</v>
      </c>
      <c r="AA10" s="17">
        <v>0</v>
      </c>
      <c r="AB10" s="18">
        <f t="shared" si="12"/>
        <v>0</v>
      </c>
    </row>
    <row r="11" spans="1:28" ht="35.25" customHeight="1" x14ac:dyDescent="0.25">
      <c r="A11" s="41" t="s">
        <v>20</v>
      </c>
      <c r="B11" s="41"/>
      <c r="C11" s="20">
        <f>SUM(C12:C15)</f>
        <v>14222</v>
      </c>
      <c r="D11" s="21">
        <f t="shared" si="0"/>
        <v>0.28142871277332543</v>
      </c>
      <c r="E11" s="20">
        <f>SUM(E12:E15)</f>
        <v>74288.91</v>
      </c>
      <c r="F11" s="21">
        <f t="shared" si="1"/>
        <v>0.55723391596348204</v>
      </c>
      <c r="G11" s="20">
        <f>SUM(G12:G15)</f>
        <v>9026.84</v>
      </c>
      <c r="H11" s="21">
        <f t="shared" si="2"/>
        <v>0.20767325679171683</v>
      </c>
      <c r="I11" s="20">
        <f>SUM(I12:I15)</f>
        <v>14730.35</v>
      </c>
      <c r="J11" s="21">
        <f t="shared" si="3"/>
        <v>0.41988437348925034</v>
      </c>
      <c r="K11" s="20">
        <f>SUM(K12:K15)</f>
        <v>16892.080000000002</v>
      </c>
      <c r="L11" s="21">
        <f t="shared" si="4"/>
        <v>0.27909717151920371</v>
      </c>
      <c r="M11" s="20">
        <f>SUM(M12:M15)</f>
        <v>9311.1</v>
      </c>
      <c r="N11" s="21">
        <f t="shared" si="5"/>
        <v>8.3332326482721777E-2</v>
      </c>
      <c r="O11" s="20">
        <f>SUM(O12:O15)</f>
        <v>38995.06</v>
      </c>
      <c r="P11" s="21">
        <f t="shared" si="6"/>
        <v>0.48814398416510668</v>
      </c>
      <c r="Q11" s="20">
        <f>SUM(Q12:Q15)</f>
        <v>120531.2</v>
      </c>
      <c r="R11" s="21">
        <f t="shared" si="7"/>
        <v>0.65560562795901445</v>
      </c>
      <c r="S11" s="20">
        <f>SUM(S12:S15)</f>
        <v>26506.57</v>
      </c>
      <c r="T11" s="21">
        <f t="shared" si="8"/>
        <v>0.31872070525389673</v>
      </c>
      <c r="U11" s="20">
        <f>SUM(U12:U15)</f>
        <v>33105.910000000003</v>
      </c>
      <c r="V11" s="21">
        <f t="shared" si="9"/>
        <v>0.55238724677107209</v>
      </c>
      <c r="W11" s="20">
        <f>SUM(W12:W15)</f>
        <v>59267.219999999994</v>
      </c>
      <c r="X11" s="21">
        <f t="shared" si="10"/>
        <v>0.39667056841402432</v>
      </c>
      <c r="Y11" s="20">
        <f>SUM(Y12:Y15)</f>
        <v>43488.71</v>
      </c>
      <c r="Z11" s="21">
        <f t="shared" si="11"/>
        <v>0.58653328718972764</v>
      </c>
      <c r="AA11" s="20">
        <f>SUM(AA12:AA15)</f>
        <v>460365.94999999995</v>
      </c>
      <c r="AB11" s="21">
        <f t="shared" si="12"/>
        <v>0.43224993728673028</v>
      </c>
    </row>
    <row r="12" spans="1:28" ht="15.75" customHeight="1" x14ac:dyDescent="0.25">
      <c r="A12" s="46" t="s">
        <v>44</v>
      </c>
      <c r="B12" s="46"/>
      <c r="C12" s="17">
        <v>800</v>
      </c>
      <c r="D12" s="18">
        <f t="shared" si="0"/>
        <v>1.5830612446819037E-2</v>
      </c>
      <c r="E12" s="17">
        <v>600</v>
      </c>
      <c r="F12" s="18">
        <f t="shared" si="1"/>
        <v>4.5005418652405748E-3</v>
      </c>
      <c r="G12" s="17">
        <v>1200</v>
      </c>
      <c r="H12" s="18">
        <f t="shared" si="2"/>
        <v>2.7607436062903543E-2</v>
      </c>
      <c r="I12" s="17">
        <v>800</v>
      </c>
      <c r="J12" s="18">
        <f t="shared" si="3"/>
        <v>2.280376900694147E-2</v>
      </c>
      <c r="K12" s="17">
        <v>1200</v>
      </c>
      <c r="L12" s="18">
        <f t="shared" si="4"/>
        <v>1.9826842273008679E-2</v>
      </c>
      <c r="M12" s="17">
        <v>1200</v>
      </c>
      <c r="N12" s="18">
        <f t="shared" si="5"/>
        <v>1.0739739856651323E-2</v>
      </c>
      <c r="O12" s="17">
        <v>1002.88</v>
      </c>
      <c r="P12" s="18">
        <f t="shared" si="6"/>
        <v>1.2554150162597576E-2</v>
      </c>
      <c r="Q12" s="17">
        <v>1000</v>
      </c>
      <c r="R12" s="18">
        <f t="shared" si="7"/>
        <v>5.4393022550096115E-3</v>
      </c>
      <c r="S12" s="17">
        <v>200</v>
      </c>
      <c r="T12" s="18">
        <f t="shared" si="8"/>
        <v>2.404843065352452E-3</v>
      </c>
      <c r="U12" s="17">
        <v>1200</v>
      </c>
      <c r="V12" s="18">
        <f t="shared" si="9"/>
        <v>2.0022548726958009E-2</v>
      </c>
      <c r="W12" s="17">
        <v>800</v>
      </c>
      <c r="X12" s="18">
        <f t="shared" si="10"/>
        <v>5.3543333858281101E-3</v>
      </c>
      <c r="Y12" s="17">
        <v>400</v>
      </c>
      <c r="Z12" s="18">
        <f t="shared" si="11"/>
        <v>5.3948097075284841E-3</v>
      </c>
      <c r="AA12" s="17">
        <f>C12+E12+G12+I12+K12+M12+O12+Q12+S12+U12+W12+Y12</f>
        <v>10402.880000000001</v>
      </c>
      <c r="AB12" s="18">
        <f t="shared" si="12"/>
        <v>9.767543033105253E-3</v>
      </c>
    </row>
    <row r="13" spans="1:28" x14ac:dyDescent="0.25">
      <c r="A13" s="51" t="s">
        <v>47</v>
      </c>
      <c r="B13" s="51"/>
      <c r="C13" s="17">
        <v>0</v>
      </c>
      <c r="D13" s="18">
        <f>C13/C$4</f>
        <v>0</v>
      </c>
      <c r="E13" s="17">
        <v>0</v>
      </c>
      <c r="F13" s="18">
        <f t="shared" si="1"/>
        <v>0</v>
      </c>
      <c r="G13" s="17">
        <v>300</v>
      </c>
      <c r="H13" s="18">
        <f t="shared" si="2"/>
        <v>6.9018590157258856E-3</v>
      </c>
      <c r="I13" s="17">
        <v>30</v>
      </c>
      <c r="J13" s="18">
        <f t="shared" si="3"/>
        <v>8.5514133776030509E-4</v>
      </c>
      <c r="K13" s="17">
        <v>10124.76</v>
      </c>
      <c r="L13" s="18">
        <f t="shared" si="4"/>
        <v>0.16728501631005613</v>
      </c>
      <c r="M13" s="17">
        <v>175.6</v>
      </c>
      <c r="N13" s="18">
        <f t="shared" si="5"/>
        <v>1.5715819323566433E-3</v>
      </c>
      <c r="O13" s="17">
        <f>90+87.8</f>
        <v>177.8</v>
      </c>
      <c r="P13" s="18">
        <f t="shared" si="6"/>
        <v>2.225717831554971E-3</v>
      </c>
      <c r="Q13" s="17">
        <v>100</v>
      </c>
      <c r="R13" s="18">
        <f t="shared" si="7"/>
        <v>5.4393022550096109E-4</v>
      </c>
      <c r="S13" s="17">
        <v>3824.76</v>
      </c>
      <c r="T13" s="18">
        <f t="shared" si="8"/>
        <v>4.5989737813187229E-2</v>
      </c>
      <c r="U13" s="17">
        <v>2471</v>
      </c>
      <c r="V13" s="18">
        <f t="shared" si="9"/>
        <v>4.1229764920261036E-2</v>
      </c>
      <c r="W13" s="17">
        <v>4823.45</v>
      </c>
      <c r="X13" s="18">
        <f t="shared" si="10"/>
        <v>3.2282949212340747E-2</v>
      </c>
      <c r="Y13" s="17">
        <v>327</v>
      </c>
      <c r="Z13" s="18">
        <f t="shared" si="11"/>
        <v>4.4102569359045357E-3</v>
      </c>
      <c r="AA13" s="17">
        <f>C13+E13+G13+I13+K13+M13+O13+Q13+S13+U13+W13+Y13</f>
        <v>22354.37</v>
      </c>
      <c r="AB13" s="18">
        <f t="shared" si="12"/>
        <v>2.0989117528314952E-2</v>
      </c>
    </row>
    <row r="14" spans="1:28" ht="15.75" customHeight="1" x14ac:dyDescent="0.25">
      <c r="A14" s="51" t="s">
        <v>51</v>
      </c>
      <c r="B14" s="51"/>
      <c r="C14" s="17">
        <v>1170</v>
      </c>
      <c r="D14" s="18">
        <f>C14/C$4</f>
        <v>2.3152270703472842E-2</v>
      </c>
      <c r="E14" s="17">
        <v>1170</v>
      </c>
      <c r="F14" s="18">
        <f t="shared" si="1"/>
        <v>8.776056637219122E-3</v>
      </c>
      <c r="G14" s="17">
        <v>1170</v>
      </c>
      <c r="H14" s="18">
        <f t="shared" si="2"/>
        <v>2.6917250161330952E-2</v>
      </c>
      <c r="I14" s="17">
        <v>1170</v>
      </c>
      <c r="J14" s="18">
        <f t="shared" si="3"/>
        <v>3.3350512172651899E-2</v>
      </c>
      <c r="K14" s="17">
        <v>1170</v>
      </c>
      <c r="L14" s="18">
        <f t="shared" si="4"/>
        <v>1.9331171216183461E-2</v>
      </c>
      <c r="M14" s="17">
        <v>1170</v>
      </c>
      <c r="N14" s="18">
        <f t="shared" si="5"/>
        <v>1.047124636023504E-2</v>
      </c>
      <c r="O14" s="17">
        <v>1170</v>
      </c>
      <c r="P14" s="18">
        <f t="shared" si="6"/>
        <v>1.4646174707082765E-2</v>
      </c>
      <c r="Q14" s="17">
        <v>0</v>
      </c>
      <c r="R14" s="18">
        <f t="shared" si="7"/>
        <v>0</v>
      </c>
      <c r="S14" s="17">
        <v>0</v>
      </c>
      <c r="T14" s="18">
        <f t="shared" si="8"/>
        <v>0</v>
      </c>
      <c r="U14" s="17">
        <v>0</v>
      </c>
      <c r="V14" s="18">
        <f t="shared" si="9"/>
        <v>0</v>
      </c>
      <c r="W14" s="17">
        <v>0</v>
      </c>
      <c r="X14" s="18">
        <f t="shared" si="10"/>
        <v>0</v>
      </c>
      <c r="Y14" s="17">
        <v>1203.0999999999999</v>
      </c>
      <c r="Z14" s="18">
        <f t="shared" si="11"/>
        <v>1.6226238897818795E-2</v>
      </c>
      <c r="AA14" s="17">
        <f>C14+E14+G14+I14+K14+M14+O14+Q14+S14+U14+W14+Y14</f>
        <v>9393.1</v>
      </c>
      <c r="AB14" s="18">
        <f t="shared" si="12"/>
        <v>8.8194335092071571E-3</v>
      </c>
    </row>
    <row r="15" spans="1:28" ht="15.75" customHeight="1" x14ac:dyDescent="0.25">
      <c r="A15" s="46" t="s">
        <v>19</v>
      </c>
      <c r="B15" s="46"/>
      <c r="C15" s="17">
        <v>12252</v>
      </c>
      <c r="D15" s="18">
        <f t="shared" si="0"/>
        <v>0.24244582962303354</v>
      </c>
      <c r="E15" s="17">
        <v>72518.91</v>
      </c>
      <c r="F15" s="18">
        <f t="shared" si="1"/>
        <v>0.54395731746102238</v>
      </c>
      <c r="G15" s="17">
        <v>6356.84</v>
      </c>
      <c r="H15" s="18">
        <f t="shared" si="2"/>
        <v>0.14624671155175645</v>
      </c>
      <c r="I15" s="17">
        <v>12730.35</v>
      </c>
      <c r="J15" s="18">
        <f t="shared" si="3"/>
        <v>0.36287495097189665</v>
      </c>
      <c r="K15" s="17">
        <v>4397.32</v>
      </c>
      <c r="L15" s="18">
        <f t="shared" si="4"/>
        <v>7.2654141719955434E-2</v>
      </c>
      <c r="M15" s="17">
        <v>6765.5</v>
      </c>
      <c r="N15" s="18">
        <f t="shared" si="5"/>
        <v>6.0549758333478768E-2</v>
      </c>
      <c r="O15" s="17">
        <v>36644.379999999997</v>
      </c>
      <c r="P15" s="18">
        <f t="shared" si="6"/>
        <v>0.4587179414638714</v>
      </c>
      <c r="Q15" s="17">
        <v>119431.2</v>
      </c>
      <c r="R15" s="18">
        <f t="shared" si="7"/>
        <v>0.64962239547850387</v>
      </c>
      <c r="S15" s="17">
        <v>22481.81</v>
      </c>
      <c r="T15" s="18">
        <f t="shared" si="8"/>
        <v>0.27032612437535708</v>
      </c>
      <c r="U15" s="17">
        <v>29434.91</v>
      </c>
      <c r="V15" s="18">
        <f t="shared" si="9"/>
        <v>0.49113493312385298</v>
      </c>
      <c r="W15" s="17">
        <v>53643.77</v>
      </c>
      <c r="X15" s="18">
        <f t="shared" si="10"/>
        <v>0.35903328581585547</v>
      </c>
      <c r="Y15" s="17">
        <v>41558.61</v>
      </c>
      <c r="Z15" s="18">
        <f t="shared" si="11"/>
        <v>0.56050198164847587</v>
      </c>
      <c r="AA15" s="17">
        <f>C15+E15+G15+I15+K15+M15+O15+Q15+S15+U15+W15+Y15</f>
        <v>418215.6</v>
      </c>
      <c r="AB15" s="18">
        <f t="shared" si="12"/>
        <v>0.39267384321610294</v>
      </c>
    </row>
    <row r="16" spans="1:28" ht="25.5" customHeight="1" x14ac:dyDescent="0.25">
      <c r="A16" s="42" t="s">
        <v>22</v>
      </c>
      <c r="B16" s="42"/>
      <c r="C16" s="15">
        <f>C4-C7</f>
        <v>36313</v>
      </c>
      <c r="D16" s="19">
        <f t="shared" si="0"/>
        <v>0.71857128722667463</v>
      </c>
      <c r="E16" s="15">
        <f>E4-E7</f>
        <v>59028.369999999995</v>
      </c>
      <c r="F16" s="19">
        <f t="shared" si="1"/>
        <v>0.44276608403651796</v>
      </c>
      <c r="G16" s="15">
        <f>G4-G7</f>
        <v>34439.710000000006</v>
      </c>
      <c r="H16" s="19">
        <f t="shared" si="2"/>
        <v>0.79232674320828322</v>
      </c>
      <c r="I16" s="15">
        <f>I4-I7</f>
        <v>20351.57</v>
      </c>
      <c r="J16" s="19">
        <f t="shared" si="3"/>
        <v>0.58011562651074977</v>
      </c>
      <c r="K16" s="15">
        <f>K4-K7</f>
        <v>43631.93</v>
      </c>
      <c r="L16" s="19">
        <f t="shared" si="4"/>
        <v>0.72090282848079623</v>
      </c>
      <c r="M16" s="15">
        <f>M4-M7</f>
        <v>102423.45</v>
      </c>
      <c r="N16" s="19">
        <f t="shared" si="5"/>
        <v>0.91666767351727818</v>
      </c>
      <c r="O16" s="15">
        <f>O4-O7</f>
        <v>40889.279999999999</v>
      </c>
      <c r="P16" s="19">
        <f t="shared" si="6"/>
        <v>0.51185601583489326</v>
      </c>
      <c r="Q16" s="15">
        <f>Q4-Q7</f>
        <v>63315.909999999989</v>
      </c>
      <c r="R16" s="19">
        <f t="shared" si="7"/>
        <v>0.34439437204098555</v>
      </c>
      <c r="S16" s="15">
        <f>S4-S7</f>
        <v>56658.939999999995</v>
      </c>
      <c r="T16" s="19">
        <f t="shared" si="8"/>
        <v>0.68127929474610327</v>
      </c>
      <c r="U16" s="15">
        <f>U4-U7</f>
        <v>26826.519999999997</v>
      </c>
      <c r="V16" s="19">
        <f t="shared" si="9"/>
        <v>0.44761275322892791</v>
      </c>
      <c r="W16" s="15">
        <f>W4-W7</f>
        <v>90144.47</v>
      </c>
      <c r="X16" s="19">
        <f t="shared" si="10"/>
        <v>0.60332943158597563</v>
      </c>
      <c r="Y16" s="15">
        <f>Y4-Y7</f>
        <v>30656.629999999997</v>
      </c>
      <c r="Z16" s="19">
        <f t="shared" si="11"/>
        <v>0.41346671281027236</v>
      </c>
      <c r="AA16" s="15">
        <f>AA4-AA7</f>
        <v>604679.78000000026</v>
      </c>
      <c r="AB16" s="19">
        <f t="shared" si="12"/>
        <v>0.56775006271326978</v>
      </c>
    </row>
    <row r="17" spans="1:28" ht="17.25" customHeight="1" x14ac:dyDescent="0.25">
      <c r="A17" s="47" t="s">
        <v>57</v>
      </c>
      <c r="B17" s="47"/>
      <c r="C17" s="22">
        <f>SUM(C18:C33)</f>
        <v>11736.369999999999</v>
      </c>
      <c r="D17" s="23">
        <f t="shared" si="0"/>
        <v>0.23224240625309189</v>
      </c>
      <c r="E17" s="22">
        <f>SUM(E18:E33)</f>
        <v>22498.97</v>
      </c>
      <c r="F17" s="23">
        <f t="shared" si="1"/>
        <v>0.16876259401631957</v>
      </c>
      <c r="G17" s="22">
        <f>SUM(G18:G33)</f>
        <v>23205.09</v>
      </c>
      <c r="H17" s="23">
        <f t="shared" si="2"/>
        <v>0.53386086542410194</v>
      </c>
      <c r="I17" s="22">
        <f>SUM(I18:I33)</f>
        <v>16516.18</v>
      </c>
      <c r="J17" s="23">
        <f t="shared" si="3"/>
        <v>0.4707889419963332</v>
      </c>
      <c r="K17" s="22">
        <f>SUM(K18:K33)</f>
        <v>14328.100000000002</v>
      </c>
      <c r="L17" s="23">
        <f t="shared" si="4"/>
        <v>0.23673414897657974</v>
      </c>
      <c r="M17" s="22">
        <f>SUM(M18:M33)</f>
        <v>28363.439999999999</v>
      </c>
      <c r="N17" s="23">
        <f t="shared" si="5"/>
        <v>0.25384663919978195</v>
      </c>
      <c r="O17" s="22">
        <f>SUM(O18:O33)</f>
        <v>67537.39</v>
      </c>
      <c r="P17" s="23">
        <f t="shared" si="6"/>
        <v>0.84543966940203807</v>
      </c>
      <c r="Q17" s="22">
        <f>SUM(Q18:Q33)</f>
        <v>18332.010000000002</v>
      </c>
      <c r="R17" s="23">
        <f t="shared" si="7"/>
        <v>9.9713343331858759E-2</v>
      </c>
      <c r="S17" s="22">
        <f>SUM(S18:S33)</f>
        <v>26165.980000000003</v>
      </c>
      <c r="T17" s="23">
        <f t="shared" si="8"/>
        <v>0.31462537775575483</v>
      </c>
      <c r="U17" s="22">
        <f>SUM(U18:U33)</f>
        <v>29471.370000000003</v>
      </c>
      <c r="V17" s="23">
        <f t="shared" si="9"/>
        <v>0.4917432848960071</v>
      </c>
      <c r="W17" s="22">
        <f>SUM(W18:W33)</f>
        <v>26532.04</v>
      </c>
      <c r="X17" s="23">
        <f t="shared" si="10"/>
        <v>0.17757673445765856</v>
      </c>
      <c r="Y17" s="22">
        <f>SUM(Y18:Y33)</f>
        <v>22537.1</v>
      </c>
      <c r="Z17" s="23">
        <f t="shared" si="11"/>
        <v>0.30395841464885048</v>
      </c>
      <c r="AA17" s="22">
        <f>SUM(AA18:AA33)</f>
        <v>307224.04000000004</v>
      </c>
      <c r="AB17" s="23">
        <f t="shared" si="12"/>
        <v>0.28846089078259574</v>
      </c>
    </row>
    <row r="18" spans="1:28" ht="17.25" customHeight="1" x14ac:dyDescent="0.25">
      <c r="A18" s="46" t="s">
        <v>37</v>
      </c>
      <c r="B18" s="46"/>
      <c r="C18" s="17">
        <v>1365</v>
      </c>
      <c r="D18" s="18">
        <f t="shared" ref="D18:D23" si="13">C18/C$4</f>
        <v>2.7010982487384982E-2</v>
      </c>
      <c r="E18" s="17">
        <v>1600</v>
      </c>
      <c r="F18" s="18">
        <f t="shared" ref="F18:F23" si="14">E18/E$4</f>
        <v>1.2001444973974866E-2</v>
      </c>
      <c r="G18" s="17">
        <v>1600</v>
      </c>
      <c r="H18" s="18">
        <f t="shared" ref="H18:H23" si="15">G18/G$4</f>
        <v>3.6809914750538054E-2</v>
      </c>
      <c r="I18" s="17">
        <v>1600</v>
      </c>
      <c r="J18" s="18">
        <f t="shared" ref="J18:J23" si="16">I18/I$4</f>
        <v>4.5607538013882939E-2</v>
      </c>
      <c r="K18" s="17">
        <v>1600</v>
      </c>
      <c r="L18" s="18">
        <f t="shared" ref="L18:L23" si="17">K18/K$4</f>
        <v>2.6435789697344905E-2</v>
      </c>
      <c r="M18" s="17">
        <v>1600</v>
      </c>
      <c r="N18" s="18">
        <f t="shared" ref="N18:N23" si="18">M18/M$4</f>
        <v>1.4319653142201762E-2</v>
      </c>
      <c r="O18" s="17">
        <v>1600</v>
      </c>
      <c r="P18" s="18">
        <f t="shared" ref="P18:P23" si="19">O18/O$4</f>
        <v>2.0028956864386688E-2</v>
      </c>
      <c r="Q18" s="17">
        <v>1600</v>
      </c>
      <c r="R18" s="18">
        <f t="shared" ref="R18:R23" si="20">Q18/Q$4</f>
        <v>8.7028836080153774E-3</v>
      </c>
      <c r="S18" s="17">
        <v>1600</v>
      </c>
      <c r="T18" s="18">
        <f t="shared" ref="T18:T23" si="21">S18/S$4</f>
        <v>1.9238744522819616E-2</v>
      </c>
      <c r="U18" s="17">
        <v>1600</v>
      </c>
      <c r="V18" s="18">
        <f t="shared" ref="V18:V23" si="22">U18/U$4</f>
        <v>2.6696731635944011E-2</v>
      </c>
      <c r="W18" s="17">
        <v>1600</v>
      </c>
      <c r="X18" s="18">
        <f t="shared" ref="X18:X23" si="23">W18/W$4</f>
        <v>1.070866677165622E-2</v>
      </c>
      <c r="Y18" s="17">
        <v>1600</v>
      </c>
      <c r="Z18" s="18">
        <f t="shared" ref="Z18:Z23" si="24">Y18/Y$4</f>
        <v>2.1579238830113937E-2</v>
      </c>
      <c r="AA18" s="17">
        <f t="shared" ref="AA18:AA24" si="25">C18+E18+G18+I18+K18+M18+O18+Q18+S18+U18+W18+Y18</f>
        <v>18965</v>
      </c>
      <c r="AB18" s="18">
        <f t="shared" ref="AB18:AB23" si="26">AA18/AA$4</f>
        <v>1.780674713375922E-2</v>
      </c>
    </row>
    <row r="19" spans="1:28" ht="15.75" customHeight="1" x14ac:dyDescent="0.25">
      <c r="A19" s="46" t="s">
        <v>38</v>
      </c>
      <c r="B19" s="46"/>
      <c r="C19" s="17">
        <v>222.06</v>
      </c>
      <c r="D19" s="18">
        <f t="shared" si="13"/>
        <v>4.3941822499257944E-3</v>
      </c>
      <c r="E19" s="17">
        <v>98.96</v>
      </c>
      <c r="F19" s="18">
        <f t="shared" si="14"/>
        <v>7.4228937164034549E-4</v>
      </c>
      <c r="G19" s="17">
        <v>134.80000000000001</v>
      </c>
      <c r="H19" s="18">
        <f t="shared" si="15"/>
        <v>3.1012353177328313E-3</v>
      </c>
      <c r="I19" s="17">
        <v>60.89</v>
      </c>
      <c r="J19" s="18">
        <f t="shared" si="16"/>
        <v>1.7356518685408325E-3</v>
      </c>
      <c r="K19" s="17">
        <v>0</v>
      </c>
      <c r="L19" s="18">
        <f t="shared" si="17"/>
        <v>0</v>
      </c>
      <c r="M19" s="17">
        <v>854.55</v>
      </c>
      <c r="N19" s="18">
        <f t="shared" si="18"/>
        <v>7.6480372454178222E-3</v>
      </c>
      <c r="O19" s="17">
        <v>539.66999999999996</v>
      </c>
      <c r="P19" s="18">
        <f t="shared" si="19"/>
        <v>6.7556419693772267E-3</v>
      </c>
      <c r="Q19" s="17">
        <v>553.87</v>
      </c>
      <c r="R19" s="18">
        <f t="shared" si="20"/>
        <v>3.0126663399821733E-3</v>
      </c>
      <c r="S19" s="17">
        <v>424.76</v>
      </c>
      <c r="T19" s="18">
        <f t="shared" si="21"/>
        <v>5.1074057021955376E-3</v>
      </c>
      <c r="U19" s="17">
        <v>606.41999999999996</v>
      </c>
      <c r="V19" s="18">
        <f t="shared" si="22"/>
        <v>1.0118394999168228E-2</v>
      </c>
      <c r="W19" s="17">
        <v>539.78</v>
      </c>
      <c r="X19" s="18">
        <f t="shared" si="23"/>
        <v>3.6127025937528713E-3</v>
      </c>
      <c r="Y19" s="17">
        <v>0</v>
      </c>
      <c r="Z19" s="18">
        <f t="shared" si="24"/>
        <v>0</v>
      </c>
      <c r="AA19" s="17">
        <f t="shared" si="25"/>
        <v>4035.7599999999993</v>
      </c>
      <c r="AB19" s="18">
        <f t="shared" si="26"/>
        <v>3.789283301478518E-3</v>
      </c>
    </row>
    <row r="20" spans="1:28" ht="15.75" customHeight="1" x14ac:dyDescent="0.25">
      <c r="A20" s="46" t="s">
        <v>43</v>
      </c>
      <c r="B20" s="46"/>
      <c r="C20" s="17">
        <v>131.84</v>
      </c>
      <c r="D20" s="18">
        <f t="shared" si="13"/>
        <v>2.6088849312357774E-3</v>
      </c>
      <c r="E20" s="17">
        <v>67.48</v>
      </c>
      <c r="F20" s="18">
        <f t="shared" si="14"/>
        <v>5.0616094177738998E-4</v>
      </c>
      <c r="G20" s="17">
        <v>67.48</v>
      </c>
      <c r="H20" s="18">
        <f t="shared" si="15"/>
        <v>1.5524581546039425E-3</v>
      </c>
      <c r="I20" s="17">
        <v>0</v>
      </c>
      <c r="J20" s="18">
        <f t="shared" si="16"/>
        <v>0</v>
      </c>
      <c r="K20" s="17">
        <v>65.38</v>
      </c>
      <c r="L20" s="18">
        <f t="shared" si="17"/>
        <v>1.0802324565077561E-3</v>
      </c>
      <c r="M20" s="17">
        <v>129.68</v>
      </c>
      <c r="N20" s="18">
        <f t="shared" si="18"/>
        <v>1.160607887175453E-3</v>
      </c>
      <c r="O20" s="17">
        <v>132.61000000000001</v>
      </c>
      <c r="P20" s="18">
        <f t="shared" si="19"/>
        <v>1.6600249811164493E-3</v>
      </c>
      <c r="Q20" s="17">
        <v>0</v>
      </c>
      <c r="R20" s="18">
        <f t="shared" si="20"/>
        <v>0</v>
      </c>
      <c r="S20" s="17">
        <v>0</v>
      </c>
      <c r="T20" s="18">
        <f t="shared" si="21"/>
        <v>0</v>
      </c>
      <c r="U20" s="17">
        <f>139.97+130.11+149.97</f>
        <v>420.05000000000007</v>
      </c>
      <c r="V20" s="18">
        <f t="shared" si="22"/>
        <v>7.0087263272989274E-3</v>
      </c>
      <c r="W20" s="17">
        <v>0</v>
      </c>
      <c r="X20" s="18">
        <f t="shared" si="23"/>
        <v>0</v>
      </c>
      <c r="Y20" s="17">
        <v>196.52</v>
      </c>
      <c r="Z20" s="18">
        <f t="shared" si="24"/>
        <v>2.6504700093087446E-3</v>
      </c>
      <c r="AA20" s="17">
        <f t="shared" si="25"/>
        <v>1211.0400000000002</v>
      </c>
      <c r="AB20" s="18">
        <f t="shared" si="26"/>
        <v>1.1370779356112718E-3</v>
      </c>
    </row>
    <row r="21" spans="1:28" ht="15.75" customHeight="1" x14ac:dyDescent="0.25">
      <c r="A21" s="46" t="s">
        <v>39</v>
      </c>
      <c r="B21" s="46"/>
      <c r="C21" s="17">
        <v>3360</v>
      </c>
      <c r="D21" s="18">
        <f t="shared" si="13"/>
        <v>6.6488572276639957E-2</v>
      </c>
      <c r="E21" s="17">
        <v>5360</v>
      </c>
      <c r="F21" s="18">
        <f t="shared" si="14"/>
        <v>4.0204840662815801E-2</v>
      </c>
      <c r="G21" s="17">
        <v>7730</v>
      </c>
      <c r="H21" s="18">
        <f t="shared" si="15"/>
        <v>0.17783790063853697</v>
      </c>
      <c r="I21" s="17">
        <v>4200</v>
      </c>
      <c r="J21" s="18">
        <f t="shared" si="16"/>
        <v>0.11971978728644271</v>
      </c>
      <c r="K21" s="17">
        <v>5500</v>
      </c>
      <c r="L21" s="18">
        <f t="shared" si="17"/>
        <v>9.0873027084623109E-2</v>
      </c>
      <c r="M21" s="17">
        <v>9950</v>
      </c>
      <c r="N21" s="18">
        <f t="shared" si="18"/>
        <v>8.9050342978067215E-2</v>
      </c>
      <c r="O21" s="17">
        <v>4200</v>
      </c>
      <c r="P21" s="18">
        <f t="shared" si="19"/>
        <v>5.2576011769015059E-2</v>
      </c>
      <c r="Q21" s="17">
        <v>3467</v>
      </c>
      <c r="R21" s="18">
        <f t="shared" si="20"/>
        <v>1.8858060918118324E-2</v>
      </c>
      <c r="S21" s="17">
        <v>250</v>
      </c>
      <c r="T21" s="18">
        <f t="shared" si="21"/>
        <v>3.0060538316905652E-3</v>
      </c>
      <c r="U21" s="17">
        <v>5530</v>
      </c>
      <c r="V21" s="18">
        <f t="shared" si="22"/>
        <v>9.2270578716731486E-2</v>
      </c>
      <c r="W21" s="17">
        <v>5000</v>
      </c>
      <c r="X21" s="18">
        <f t="shared" si="23"/>
        <v>3.3464583661425691E-2</v>
      </c>
      <c r="Y21" s="17">
        <v>4000</v>
      </c>
      <c r="Z21" s="18">
        <f t="shared" si="24"/>
        <v>5.3948097075284841E-2</v>
      </c>
      <c r="AA21" s="17">
        <f t="shared" si="25"/>
        <v>58547</v>
      </c>
      <c r="AB21" s="18">
        <f t="shared" si="26"/>
        <v>5.4971348507260799E-2</v>
      </c>
    </row>
    <row r="22" spans="1:28" ht="15.75" customHeight="1" x14ac:dyDescent="0.25">
      <c r="A22" s="46" t="s">
        <v>48</v>
      </c>
      <c r="B22" s="46" t="s">
        <v>48</v>
      </c>
      <c r="C22" s="17">
        <v>1540</v>
      </c>
      <c r="D22" s="18">
        <f t="shared" si="13"/>
        <v>3.0473928960126646E-2</v>
      </c>
      <c r="E22" s="17">
        <v>700</v>
      </c>
      <c r="F22" s="18">
        <f t="shared" si="14"/>
        <v>5.2506321761140043E-3</v>
      </c>
      <c r="G22" s="17">
        <v>0</v>
      </c>
      <c r="H22" s="18">
        <f t="shared" si="15"/>
        <v>0</v>
      </c>
      <c r="I22" s="17">
        <v>770</v>
      </c>
      <c r="J22" s="18">
        <f t="shared" si="16"/>
        <v>2.1948627669181164E-2</v>
      </c>
      <c r="K22" s="17">
        <v>0</v>
      </c>
      <c r="L22" s="18">
        <f t="shared" si="17"/>
        <v>0</v>
      </c>
      <c r="M22" s="17">
        <v>0</v>
      </c>
      <c r="N22" s="18">
        <f t="shared" si="18"/>
        <v>0</v>
      </c>
      <c r="O22" s="17">
        <v>1740</v>
      </c>
      <c r="P22" s="18">
        <f t="shared" si="19"/>
        <v>2.1781490590020523E-2</v>
      </c>
      <c r="Q22" s="17">
        <v>171.07</v>
      </c>
      <c r="R22" s="18">
        <f t="shared" si="20"/>
        <v>9.3050143676449417E-4</v>
      </c>
      <c r="S22" s="17">
        <v>0</v>
      </c>
      <c r="T22" s="18">
        <f t="shared" si="21"/>
        <v>0</v>
      </c>
      <c r="U22" s="17">
        <v>325</v>
      </c>
      <c r="V22" s="18">
        <f t="shared" si="22"/>
        <v>5.4227736135511271E-3</v>
      </c>
      <c r="W22" s="17">
        <v>1189.9000000000001</v>
      </c>
      <c r="X22" s="18">
        <f t="shared" si="23"/>
        <v>7.9639016197460867E-3</v>
      </c>
      <c r="Y22" s="17">
        <v>0</v>
      </c>
      <c r="Z22" s="18">
        <f t="shared" si="24"/>
        <v>0</v>
      </c>
      <c r="AA22" s="17">
        <f t="shared" si="25"/>
        <v>6435.9699999999993</v>
      </c>
      <c r="AB22" s="18">
        <f t="shared" si="26"/>
        <v>6.0429048431563572E-3</v>
      </c>
    </row>
    <row r="23" spans="1:28" ht="15.75" customHeight="1" x14ac:dyDescent="0.25">
      <c r="A23" s="46" t="s">
        <v>40</v>
      </c>
      <c r="B23" s="46"/>
      <c r="C23" s="17">
        <v>15</v>
      </c>
      <c r="D23" s="18">
        <f t="shared" si="13"/>
        <v>2.9682398337785694E-4</v>
      </c>
      <c r="E23" s="17">
        <v>0</v>
      </c>
      <c r="F23" s="18">
        <f t="shared" si="14"/>
        <v>0</v>
      </c>
      <c r="G23" s="17">
        <v>125.05</v>
      </c>
      <c r="H23" s="18">
        <f t="shared" si="15"/>
        <v>2.8769248997217397E-3</v>
      </c>
      <c r="I23" s="17">
        <v>274.39999999999998</v>
      </c>
      <c r="J23" s="18">
        <f t="shared" si="16"/>
        <v>7.8216927693809234E-3</v>
      </c>
      <c r="K23" s="17">
        <v>175.91</v>
      </c>
      <c r="L23" s="18">
        <f t="shared" si="17"/>
        <v>2.9064498535374635E-3</v>
      </c>
      <c r="M23" s="17">
        <v>66.05</v>
      </c>
      <c r="N23" s="18">
        <f t="shared" si="18"/>
        <v>5.9113318127651646E-4</v>
      </c>
      <c r="O23" s="17">
        <v>61.55</v>
      </c>
      <c r="P23" s="18">
        <f t="shared" si="19"/>
        <v>7.7048893437687541E-4</v>
      </c>
      <c r="Q23" s="17">
        <v>584.66999999999996</v>
      </c>
      <c r="R23" s="18">
        <f t="shared" si="20"/>
        <v>3.1801968494364692E-3</v>
      </c>
      <c r="S23" s="17">
        <v>0</v>
      </c>
      <c r="T23" s="18">
        <f t="shared" si="21"/>
        <v>0</v>
      </c>
      <c r="U23" s="17">
        <v>279.87</v>
      </c>
      <c r="V23" s="18">
        <f t="shared" si="22"/>
        <v>4.6697589268447819E-3</v>
      </c>
      <c r="W23" s="17">
        <v>60.45</v>
      </c>
      <c r="X23" s="18">
        <f t="shared" si="23"/>
        <v>4.0458681646663661E-4</v>
      </c>
      <c r="Y23" s="17">
        <v>251.19</v>
      </c>
      <c r="Z23" s="18">
        <f t="shared" si="24"/>
        <v>3.3878056260852E-3</v>
      </c>
      <c r="AA23" s="17">
        <f t="shared" si="25"/>
        <v>1894.14</v>
      </c>
      <c r="AB23" s="18">
        <f t="shared" si="26"/>
        <v>1.7784588460816604E-3</v>
      </c>
    </row>
    <row r="24" spans="1:28" ht="15.75" customHeight="1" x14ac:dyDescent="0.25">
      <c r="A24" s="46" t="s">
        <v>42</v>
      </c>
      <c r="B24" s="46" t="s">
        <v>41</v>
      </c>
      <c r="C24" s="17">
        <v>3900</v>
      </c>
      <c r="D24" s="18">
        <f t="shared" si="0"/>
        <v>7.7174235678242803E-2</v>
      </c>
      <c r="E24" s="17">
        <v>3900</v>
      </c>
      <c r="F24" s="18">
        <f t="shared" si="1"/>
        <v>2.9253522124063739E-2</v>
      </c>
      <c r="G24" s="17">
        <v>3900</v>
      </c>
      <c r="H24" s="18">
        <f t="shared" si="2"/>
        <v>8.9724167204436503E-2</v>
      </c>
      <c r="I24" s="17">
        <v>3900</v>
      </c>
      <c r="J24" s="18">
        <f t="shared" si="3"/>
        <v>0.11116837390883966</v>
      </c>
      <c r="K24" s="17">
        <v>3900</v>
      </c>
      <c r="L24" s="18">
        <f t="shared" si="4"/>
        <v>6.4437237387278204E-2</v>
      </c>
      <c r="M24" s="17">
        <v>4900</v>
      </c>
      <c r="N24" s="18">
        <f t="shared" si="5"/>
        <v>4.3853937747992899E-2</v>
      </c>
      <c r="O24" s="17">
        <v>4900</v>
      </c>
      <c r="P24" s="18">
        <f t="shared" si="6"/>
        <v>6.133868039718423E-2</v>
      </c>
      <c r="Q24" s="17">
        <v>4900</v>
      </c>
      <c r="R24" s="18">
        <f t="shared" si="7"/>
        <v>2.6652581049547097E-2</v>
      </c>
      <c r="S24" s="17">
        <v>4900</v>
      </c>
      <c r="T24" s="18">
        <f t="shared" si="8"/>
        <v>5.891865510113508E-2</v>
      </c>
      <c r="U24" s="17">
        <v>4900</v>
      </c>
      <c r="V24" s="18">
        <f t="shared" si="9"/>
        <v>8.1758740635078542E-2</v>
      </c>
      <c r="W24" s="17">
        <f>2100+1000+2500</f>
        <v>5600</v>
      </c>
      <c r="X24" s="18">
        <f t="shared" si="10"/>
        <v>3.7480333700796772E-2</v>
      </c>
      <c r="Y24" s="17">
        <v>3900</v>
      </c>
      <c r="Z24" s="18">
        <f t="shared" si="11"/>
        <v>5.2599394648402721E-2</v>
      </c>
      <c r="AA24" s="17">
        <f t="shared" si="25"/>
        <v>53500</v>
      </c>
      <c r="AB24" s="18">
        <f t="shared" si="12"/>
        <v>5.0232584848727564E-2</v>
      </c>
    </row>
    <row r="25" spans="1:28" ht="15.75" customHeight="1" x14ac:dyDescent="0.25">
      <c r="A25" s="46" t="s">
        <v>45</v>
      </c>
      <c r="B25" s="46"/>
      <c r="C25" s="17">
        <v>728.5</v>
      </c>
      <c r="D25" s="18">
        <f t="shared" si="0"/>
        <v>1.4415751459384585E-2</v>
      </c>
      <c r="E25" s="17">
        <v>653.5</v>
      </c>
      <c r="F25" s="18">
        <f t="shared" si="1"/>
        <v>4.9018401815578592E-3</v>
      </c>
      <c r="G25" s="17">
        <v>680.61</v>
      </c>
      <c r="H25" s="18">
        <f t="shared" si="2"/>
        <v>1.5658247548977315E-2</v>
      </c>
      <c r="I25" s="17">
        <v>820.61</v>
      </c>
      <c r="J25" s="18">
        <f t="shared" si="3"/>
        <v>2.3391251105982797E-2</v>
      </c>
      <c r="K25" s="17">
        <v>840.54</v>
      </c>
      <c r="L25" s="18">
        <f t="shared" si="4"/>
        <v>1.3887711670128929E-2</v>
      </c>
      <c r="M25" s="17">
        <v>820.61</v>
      </c>
      <c r="N25" s="18">
        <f t="shared" si="5"/>
        <v>7.3442816031388681E-3</v>
      </c>
      <c r="O25" s="17">
        <v>820.61</v>
      </c>
      <c r="P25" s="18">
        <f t="shared" si="6"/>
        <v>1.0272476432802725E-2</v>
      </c>
      <c r="Q25" s="17">
        <v>820.61</v>
      </c>
      <c r="R25" s="18">
        <f t="shared" si="7"/>
        <v>4.463545823483437E-3</v>
      </c>
      <c r="S25" s="17">
        <v>0</v>
      </c>
      <c r="T25" s="18">
        <f t="shared" si="8"/>
        <v>0</v>
      </c>
      <c r="U25" s="17">
        <v>842.41</v>
      </c>
      <c r="V25" s="18">
        <f t="shared" si="9"/>
        <v>1.4055996060897247E-2</v>
      </c>
      <c r="W25" s="17">
        <v>1665.62</v>
      </c>
      <c r="X25" s="18">
        <f t="shared" si="10"/>
        <v>1.114785596762877E-2</v>
      </c>
      <c r="Y25" s="17">
        <v>739.32</v>
      </c>
      <c r="Z25" s="18">
        <f t="shared" si="11"/>
        <v>9.9712267824248971E-3</v>
      </c>
      <c r="AA25" s="17">
        <f t="shared" ref="AA25:AA33" si="27">C25+E25+G25+I25+K25+M25+O25+Q25+S25+U25+W25+Y25</f>
        <v>9432.9399999999987</v>
      </c>
      <c r="AB25" s="18">
        <f t="shared" si="12"/>
        <v>8.8568403537001138E-3</v>
      </c>
    </row>
    <row r="26" spans="1:28" ht="12.75" customHeight="1" x14ac:dyDescent="0.25">
      <c r="A26" s="46" t="s">
        <v>6</v>
      </c>
      <c r="B26" s="46"/>
      <c r="C26" s="17">
        <v>0</v>
      </c>
      <c r="D26" s="18">
        <f t="shared" si="0"/>
        <v>0</v>
      </c>
      <c r="E26" s="17">
        <v>0</v>
      </c>
      <c r="F26" s="18">
        <f t="shared" si="1"/>
        <v>0</v>
      </c>
      <c r="G26" s="17">
        <v>0</v>
      </c>
      <c r="H26" s="18">
        <f t="shared" si="2"/>
        <v>0</v>
      </c>
      <c r="I26" s="17">
        <v>0</v>
      </c>
      <c r="J26" s="18">
        <f t="shared" si="3"/>
        <v>0</v>
      </c>
      <c r="K26" s="17">
        <v>0</v>
      </c>
      <c r="L26" s="18">
        <f t="shared" si="4"/>
        <v>0</v>
      </c>
      <c r="M26" s="17">
        <v>0</v>
      </c>
      <c r="N26" s="18">
        <f t="shared" si="5"/>
        <v>0</v>
      </c>
      <c r="O26" s="17">
        <v>0</v>
      </c>
      <c r="P26" s="18">
        <f t="shared" si="6"/>
        <v>0</v>
      </c>
      <c r="Q26" s="17">
        <v>0</v>
      </c>
      <c r="R26" s="18">
        <f t="shared" si="7"/>
        <v>0</v>
      </c>
      <c r="S26" s="17">
        <v>0</v>
      </c>
      <c r="T26" s="18">
        <f t="shared" si="8"/>
        <v>0</v>
      </c>
      <c r="U26" s="17">
        <v>0</v>
      </c>
      <c r="V26" s="18">
        <f t="shared" si="9"/>
        <v>0</v>
      </c>
      <c r="W26" s="17">
        <v>0</v>
      </c>
      <c r="X26" s="18">
        <f t="shared" si="10"/>
        <v>0</v>
      </c>
      <c r="Y26" s="17">
        <v>2900</v>
      </c>
      <c r="Z26" s="18">
        <f t="shared" si="11"/>
        <v>3.9112370379581513E-2</v>
      </c>
      <c r="AA26" s="17">
        <f t="shared" si="27"/>
        <v>2900</v>
      </c>
      <c r="AB26" s="18">
        <f t="shared" si="12"/>
        <v>2.7228877768469147E-3</v>
      </c>
    </row>
    <row r="27" spans="1:28" ht="13.5" customHeight="1" x14ac:dyDescent="0.25">
      <c r="A27" s="46" t="s">
        <v>50</v>
      </c>
      <c r="B27" s="46"/>
      <c r="C27" s="17">
        <v>0</v>
      </c>
      <c r="D27" s="18">
        <f t="shared" si="0"/>
        <v>0</v>
      </c>
      <c r="E27" s="17">
        <v>1540</v>
      </c>
      <c r="F27" s="18">
        <f t="shared" si="1"/>
        <v>1.1551390787450809E-2</v>
      </c>
      <c r="G27" s="17">
        <v>1809</v>
      </c>
      <c r="H27" s="18">
        <f t="shared" si="2"/>
        <v>4.1618209864827088E-2</v>
      </c>
      <c r="I27" s="17">
        <v>1620</v>
      </c>
      <c r="J27" s="18">
        <f t="shared" si="3"/>
        <v>4.6177632239056472E-2</v>
      </c>
      <c r="K27" s="17">
        <v>1700</v>
      </c>
      <c r="L27" s="18">
        <f t="shared" si="4"/>
        <v>2.8088026553428961E-2</v>
      </c>
      <c r="M27" s="17">
        <v>1552</v>
      </c>
      <c r="N27" s="18">
        <f t="shared" si="5"/>
        <v>1.389006354793571E-2</v>
      </c>
      <c r="O27" s="17">
        <f>1552+279.95</f>
        <v>1831.95</v>
      </c>
      <c r="P27" s="18">
        <f t="shared" si="6"/>
        <v>2.2932529704820747E-2</v>
      </c>
      <c r="Q27" s="17">
        <v>1552</v>
      </c>
      <c r="R27" s="18">
        <f t="shared" si="7"/>
        <v>8.4417970997749166E-3</v>
      </c>
      <c r="S27" s="17">
        <v>1615.7</v>
      </c>
      <c r="T27" s="18">
        <f t="shared" si="8"/>
        <v>1.9427524703449786E-2</v>
      </c>
      <c r="U27" s="17">
        <v>1615.7</v>
      </c>
      <c r="V27" s="18">
        <f t="shared" si="9"/>
        <v>2.6958693315121712E-2</v>
      </c>
      <c r="W27" s="17">
        <v>1609</v>
      </c>
      <c r="X27" s="18">
        <f t="shared" si="10"/>
        <v>1.0768903022246786E-2</v>
      </c>
      <c r="Y27" s="17">
        <v>1890</v>
      </c>
      <c r="Z27" s="18">
        <f t="shared" si="11"/>
        <v>2.5490475868072088E-2</v>
      </c>
      <c r="AA27" s="17">
        <f t="shared" si="27"/>
        <v>18335.350000000002</v>
      </c>
      <c r="AB27" s="18">
        <f t="shared" si="12"/>
        <v>1.7215551861796581E-2</v>
      </c>
    </row>
    <row r="28" spans="1:28" ht="15.75" customHeight="1" x14ac:dyDescent="0.25">
      <c r="A28" s="46" t="s">
        <v>49</v>
      </c>
      <c r="B28" s="46"/>
      <c r="C28" s="17">
        <v>12</v>
      </c>
      <c r="D28" s="18">
        <f t="shared" si="0"/>
        <v>2.3745918670228555E-4</v>
      </c>
      <c r="E28" s="17">
        <v>59.28</v>
      </c>
      <c r="F28" s="18">
        <f t="shared" si="1"/>
        <v>4.4465353628576882E-4</v>
      </c>
      <c r="G28" s="17">
        <v>177.38</v>
      </c>
      <c r="H28" s="18">
        <f t="shared" si="2"/>
        <v>4.0808391740315246E-3</v>
      </c>
      <c r="I28" s="17">
        <v>28.51</v>
      </c>
      <c r="J28" s="18">
        <f t="shared" si="3"/>
        <v>8.1266931798487662E-4</v>
      </c>
      <c r="K28" s="17">
        <v>0</v>
      </c>
      <c r="L28" s="18">
        <f t="shared" si="4"/>
        <v>0</v>
      </c>
      <c r="M28" s="17">
        <v>2631</v>
      </c>
      <c r="N28" s="18">
        <f t="shared" si="5"/>
        <v>2.3546879635708024E-2</v>
      </c>
      <c r="O28" s="17">
        <v>26</v>
      </c>
      <c r="P28" s="18">
        <f t="shared" si="6"/>
        <v>3.2547054904628366E-4</v>
      </c>
      <c r="Q28" s="17">
        <v>82</v>
      </c>
      <c r="R28" s="18">
        <f t="shared" si="7"/>
        <v>4.4602278491078813E-4</v>
      </c>
      <c r="S28" s="17">
        <v>51.5</v>
      </c>
      <c r="T28" s="18">
        <f t="shared" si="8"/>
        <v>6.1924708932825645E-4</v>
      </c>
      <c r="U28" s="17">
        <v>1194.96</v>
      </c>
      <c r="V28" s="18">
        <f t="shared" si="9"/>
        <v>1.9938454022304788E-2</v>
      </c>
      <c r="W28" s="17">
        <v>1225.6500000000001</v>
      </c>
      <c r="X28" s="18">
        <f t="shared" si="10"/>
        <v>8.2031733929252802E-3</v>
      </c>
      <c r="Y28" s="17">
        <v>0</v>
      </c>
      <c r="Z28" s="18">
        <f t="shared" si="11"/>
        <v>0</v>
      </c>
      <c r="AA28" s="17">
        <f t="shared" si="27"/>
        <v>5488.2800000000007</v>
      </c>
      <c r="AB28" s="18">
        <f t="shared" si="12"/>
        <v>5.1530932854873751E-3</v>
      </c>
    </row>
    <row r="29" spans="1:28" ht="15.75" customHeight="1" x14ac:dyDescent="0.25">
      <c r="A29" s="46" t="s">
        <v>52</v>
      </c>
      <c r="B29" s="46"/>
      <c r="C29" s="17">
        <v>0</v>
      </c>
      <c r="D29" s="18">
        <f t="shared" si="0"/>
        <v>0</v>
      </c>
      <c r="E29" s="17">
        <v>1956.77</v>
      </c>
      <c r="F29" s="18">
        <f t="shared" si="1"/>
        <v>1.4677542176077999E-2</v>
      </c>
      <c r="G29" s="17">
        <v>1956.77</v>
      </c>
      <c r="H29" s="18">
        <f t="shared" si="2"/>
        <v>4.5017835554006465E-2</v>
      </c>
      <c r="I29" s="17">
        <v>1956.77</v>
      </c>
      <c r="J29" s="18">
        <f t="shared" si="3"/>
        <v>5.577716384964107E-2</v>
      </c>
      <c r="K29" s="17">
        <v>0</v>
      </c>
      <c r="L29" s="18">
        <f t="shared" si="4"/>
        <v>0</v>
      </c>
      <c r="M29" s="17">
        <v>1956.77</v>
      </c>
      <c r="N29" s="18">
        <f t="shared" si="5"/>
        <v>1.7512667299416338E-2</v>
      </c>
      <c r="O29" s="17">
        <v>2331.6999999999998</v>
      </c>
      <c r="P29" s="18">
        <f t="shared" si="6"/>
        <v>2.9188449200431524E-2</v>
      </c>
      <c r="Q29" s="17">
        <v>2203.7600000000002</v>
      </c>
      <c r="R29" s="18">
        <f t="shared" si="7"/>
        <v>1.1986916737499983E-2</v>
      </c>
      <c r="S29" s="17">
        <v>2331.6999999999998</v>
      </c>
      <c r="T29" s="18">
        <f t="shared" si="8"/>
        <v>2.8036862877411563E-2</v>
      </c>
      <c r="U29" s="17">
        <v>2038.79</v>
      </c>
      <c r="V29" s="18">
        <f t="shared" si="9"/>
        <v>3.401814343252893E-2</v>
      </c>
      <c r="W29" s="17">
        <v>2003.01</v>
      </c>
      <c r="X29" s="18">
        <f t="shared" si="10"/>
        <v>1.3405979143934453E-2</v>
      </c>
      <c r="Y29" s="17">
        <v>2333.3200000000002</v>
      </c>
      <c r="Z29" s="18">
        <f t="shared" si="11"/>
        <v>3.146954346692591E-2</v>
      </c>
      <c r="AA29" s="17">
        <f t="shared" si="27"/>
        <v>21069.359999999997</v>
      </c>
      <c r="AB29" s="18">
        <f t="shared" si="12"/>
        <v>1.978258717585769E-2</v>
      </c>
    </row>
    <row r="30" spans="1:28" ht="15.75" customHeight="1" x14ac:dyDescent="0.25">
      <c r="A30" s="46" t="s">
        <v>54</v>
      </c>
      <c r="B30" s="46"/>
      <c r="C30" s="17">
        <v>0</v>
      </c>
      <c r="D30" s="18">
        <f t="shared" si="0"/>
        <v>0</v>
      </c>
      <c r="E30" s="17">
        <v>0</v>
      </c>
      <c r="F30" s="18">
        <f t="shared" si="1"/>
        <v>0</v>
      </c>
      <c r="G30" s="17">
        <v>3056</v>
      </c>
      <c r="H30" s="18">
        <f t="shared" si="2"/>
        <v>7.0306937173527678E-2</v>
      </c>
      <c r="I30" s="17">
        <v>0</v>
      </c>
      <c r="J30" s="18">
        <f t="shared" si="3"/>
        <v>0</v>
      </c>
      <c r="K30" s="17">
        <v>0</v>
      </c>
      <c r="L30" s="18">
        <f t="shared" si="4"/>
        <v>0</v>
      </c>
      <c r="M30" s="17">
        <v>208.44</v>
      </c>
      <c r="N30" s="18">
        <f t="shared" si="5"/>
        <v>1.8654928131003345E-3</v>
      </c>
      <c r="O30" s="17">
        <v>0</v>
      </c>
      <c r="P30" s="18">
        <f t="shared" si="6"/>
        <v>0</v>
      </c>
      <c r="Q30" s="17">
        <v>119.52</v>
      </c>
      <c r="R30" s="18">
        <f t="shared" si="7"/>
        <v>6.5010540551874868E-4</v>
      </c>
      <c r="S30" s="17">
        <v>167.33</v>
      </c>
      <c r="T30" s="18">
        <f t="shared" si="8"/>
        <v>2.0120119506271293E-3</v>
      </c>
      <c r="U30" s="17">
        <v>0</v>
      </c>
      <c r="V30" s="18">
        <f t="shared" si="9"/>
        <v>0</v>
      </c>
      <c r="W30" s="17">
        <v>140.24</v>
      </c>
      <c r="X30" s="18">
        <f t="shared" si="10"/>
        <v>9.3861464253566773E-4</v>
      </c>
      <c r="Y30" s="17">
        <v>150</v>
      </c>
      <c r="Z30" s="18">
        <f t="shared" si="11"/>
        <v>2.0230536403231815E-3</v>
      </c>
      <c r="AA30" s="17">
        <f t="shared" si="27"/>
        <v>3841.5299999999997</v>
      </c>
      <c r="AB30" s="18">
        <f t="shared" si="12"/>
        <v>3.6069155453071476E-3</v>
      </c>
    </row>
    <row r="31" spans="1:28" ht="15.75" customHeight="1" x14ac:dyDescent="0.25">
      <c r="A31" s="46" t="s">
        <v>53</v>
      </c>
      <c r="B31" s="46"/>
      <c r="C31" s="17">
        <v>461.97</v>
      </c>
      <c r="D31" s="18">
        <f t="shared" si="0"/>
        <v>9.1415850400712387E-3</v>
      </c>
      <c r="E31" s="17">
        <v>6562.98</v>
      </c>
      <c r="F31" s="18">
        <f t="shared" si="1"/>
        <v>4.9228277084560977E-2</v>
      </c>
      <c r="G31" s="17">
        <v>1968</v>
      </c>
      <c r="H31" s="18">
        <f t="shared" si="2"/>
        <v>4.5276195143161807E-2</v>
      </c>
      <c r="I31" s="17">
        <v>1285</v>
      </c>
      <c r="J31" s="18">
        <f t="shared" si="3"/>
        <v>3.6628553967399731E-2</v>
      </c>
      <c r="K31" s="17">
        <v>546.27</v>
      </c>
      <c r="L31" s="18">
        <f t="shared" si="4"/>
        <v>9.0256742737303743E-3</v>
      </c>
      <c r="M31" s="17">
        <v>3694.34</v>
      </c>
      <c r="N31" s="18">
        <f t="shared" si="5"/>
        <v>3.3063542118351039E-2</v>
      </c>
      <c r="O31" s="17">
        <v>715.72</v>
      </c>
      <c r="P31" s="18">
        <f t="shared" si="6"/>
        <v>8.9594531293617757E-3</v>
      </c>
      <c r="Q31" s="17">
        <v>2277.5100000000002</v>
      </c>
      <c r="R31" s="18">
        <f t="shared" si="7"/>
        <v>1.2388065278806941E-2</v>
      </c>
      <c r="S31" s="17">
        <v>2586.41</v>
      </c>
      <c r="T31" s="18">
        <f t="shared" si="8"/>
        <v>3.1099550763291177E-2</v>
      </c>
      <c r="U31" s="17">
        <v>1364.59</v>
      </c>
      <c r="V31" s="18">
        <f t="shared" si="9"/>
        <v>2.2768808139433022E-2</v>
      </c>
      <c r="W31" s="17">
        <v>3364.81</v>
      </c>
      <c r="X31" s="18">
        <f t="shared" si="10"/>
        <v>2.2520393149960353E-2</v>
      </c>
      <c r="Y31" s="17">
        <v>2043.17</v>
      </c>
      <c r="Z31" s="18">
        <f t="shared" si="11"/>
        <v>2.7556283375327433E-2</v>
      </c>
      <c r="AA31" s="17">
        <f t="shared" si="27"/>
        <v>26870.770000000004</v>
      </c>
      <c r="AB31" s="18"/>
    </row>
    <row r="32" spans="1:28" ht="15.75" customHeight="1" x14ac:dyDescent="0.25">
      <c r="A32" s="46" t="s">
        <v>55</v>
      </c>
      <c r="B32" s="46"/>
      <c r="C32" s="17">
        <v>0</v>
      </c>
      <c r="D32" s="18">
        <f t="shared" si="0"/>
        <v>0</v>
      </c>
      <c r="E32" s="17">
        <v>0</v>
      </c>
      <c r="F32" s="18">
        <f t="shared" si="1"/>
        <v>0</v>
      </c>
      <c r="G32" s="17">
        <v>0</v>
      </c>
      <c r="H32" s="18">
        <f t="shared" si="2"/>
        <v>0</v>
      </c>
      <c r="I32" s="17">
        <v>0</v>
      </c>
      <c r="J32" s="18">
        <f t="shared" si="3"/>
        <v>0</v>
      </c>
      <c r="K32" s="17">
        <v>0</v>
      </c>
      <c r="L32" s="18">
        <f t="shared" si="4"/>
        <v>0</v>
      </c>
      <c r="M32" s="17">
        <v>0</v>
      </c>
      <c r="N32" s="18">
        <f t="shared" si="5"/>
        <v>0</v>
      </c>
      <c r="O32" s="17">
        <v>38704</v>
      </c>
      <c r="P32" s="18">
        <f t="shared" si="6"/>
        <v>0.48450046654951401</v>
      </c>
      <c r="Q32" s="17">
        <v>0</v>
      </c>
      <c r="R32" s="18">
        <f t="shared" si="7"/>
        <v>0</v>
      </c>
      <c r="S32" s="17">
        <v>8705</v>
      </c>
      <c r="T32" s="18">
        <f t="shared" si="8"/>
        <v>0.10467079441946547</v>
      </c>
      <c r="U32" s="17">
        <v>0</v>
      </c>
      <c r="V32" s="18">
        <f t="shared" si="9"/>
        <v>0</v>
      </c>
      <c r="W32" s="17">
        <v>0</v>
      </c>
      <c r="X32" s="18">
        <f t="shared" si="10"/>
        <v>0</v>
      </c>
      <c r="Y32" s="17">
        <v>0</v>
      </c>
      <c r="Z32" s="18">
        <f t="shared" si="11"/>
        <v>0</v>
      </c>
      <c r="AA32" s="17">
        <f t="shared" si="27"/>
        <v>47409</v>
      </c>
      <c r="AB32" s="18"/>
    </row>
    <row r="33" spans="1:29" ht="28.5" customHeight="1" x14ac:dyDescent="0.25">
      <c r="A33" s="46" t="s">
        <v>23</v>
      </c>
      <c r="B33" s="46"/>
      <c r="C33" s="17">
        <v>0</v>
      </c>
      <c r="D33" s="18">
        <f t="shared" si="0"/>
        <v>0</v>
      </c>
      <c r="E33" s="17">
        <v>0</v>
      </c>
      <c r="F33" s="18">
        <f t="shared" si="1"/>
        <v>0</v>
      </c>
      <c r="G33" s="17">
        <v>0</v>
      </c>
      <c r="H33" s="18">
        <f t="shared" si="2"/>
        <v>0</v>
      </c>
      <c r="I33" s="17">
        <v>0</v>
      </c>
      <c r="J33" s="18">
        <f t="shared" si="3"/>
        <v>0</v>
      </c>
      <c r="K33" s="17">
        <v>0</v>
      </c>
      <c r="L33" s="18">
        <f t="shared" si="4"/>
        <v>0</v>
      </c>
      <c r="M33" s="17">
        <v>0</v>
      </c>
      <c r="N33" s="18">
        <f t="shared" si="5"/>
        <v>0</v>
      </c>
      <c r="O33" s="17">
        <v>9933.58</v>
      </c>
      <c r="P33" s="18">
        <f t="shared" si="6"/>
        <v>0.12434952833058395</v>
      </c>
      <c r="Q33" s="17">
        <v>0</v>
      </c>
      <c r="R33" s="18">
        <f t="shared" si="7"/>
        <v>0</v>
      </c>
      <c r="S33" s="17">
        <v>3533.58</v>
      </c>
      <c r="T33" s="18">
        <f t="shared" si="8"/>
        <v>4.2488526794340585E-2</v>
      </c>
      <c r="U33" s="17">
        <v>8753.58</v>
      </c>
      <c r="V33" s="18">
        <f t="shared" si="9"/>
        <v>0.14605748507110425</v>
      </c>
      <c r="W33" s="17">
        <v>2533.58</v>
      </c>
      <c r="X33" s="18">
        <f t="shared" si="10"/>
        <v>1.6957039974582977E-2</v>
      </c>
      <c r="Y33" s="17">
        <v>2533.58</v>
      </c>
      <c r="Z33" s="18">
        <f t="shared" si="11"/>
        <v>3.4170454947000044E-2</v>
      </c>
      <c r="AA33" s="17">
        <f t="shared" si="27"/>
        <v>27287.9</v>
      </c>
      <c r="AB33" s="18">
        <f t="shared" si="12"/>
        <v>2.5621341160627906E-2</v>
      </c>
    </row>
    <row r="34" spans="1:29" s="31" customFormat="1" ht="27.75" customHeight="1" x14ac:dyDescent="0.3">
      <c r="A34" s="42" t="s">
        <v>7</v>
      </c>
      <c r="B34" s="42"/>
      <c r="C34" s="15">
        <f>C16-C17</f>
        <v>24576.63</v>
      </c>
      <c r="D34" s="19">
        <f t="shared" si="0"/>
        <v>0.48632888097358268</v>
      </c>
      <c r="E34" s="15">
        <f>E16-E17</f>
        <v>36529.399999999994</v>
      </c>
      <c r="F34" s="19">
        <f t="shared" si="1"/>
        <v>0.27400349002019841</v>
      </c>
      <c r="G34" s="15">
        <f>G16-G17</f>
        <v>11234.620000000006</v>
      </c>
      <c r="H34" s="19">
        <f t="shared" si="2"/>
        <v>0.25846587778418129</v>
      </c>
      <c r="I34" s="15">
        <f>I16-I17</f>
        <v>3835.3899999999994</v>
      </c>
      <c r="J34" s="19">
        <f t="shared" si="3"/>
        <v>0.10932668451441653</v>
      </c>
      <c r="K34" s="15">
        <f>K16-K17</f>
        <v>29303.829999999998</v>
      </c>
      <c r="L34" s="19">
        <f t="shared" si="4"/>
        <v>0.48416867950421655</v>
      </c>
      <c r="M34" s="15">
        <f>M16-M17</f>
        <v>74060.009999999995</v>
      </c>
      <c r="N34" s="19">
        <f>M34/M$4</f>
        <v>0.66282103431749617</v>
      </c>
      <c r="O34" s="15">
        <f>O16-O17</f>
        <v>-26648.11</v>
      </c>
      <c r="P34" s="19">
        <f t="shared" si="6"/>
        <v>-0.3335836535671447</v>
      </c>
      <c r="Q34" s="15">
        <f>Q16-Q17</f>
        <v>44983.899999999987</v>
      </c>
      <c r="R34" s="19">
        <f t="shared" si="7"/>
        <v>0.24468102870912678</v>
      </c>
      <c r="S34" s="15">
        <f>S16-S17</f>
        <v>30492.959999999992</v>
      </c>
      <c r="T34" s="19">
        <f t="shared" si="8"/>
        <v>0.36665391699034844</v>
      </c>
      <c r="U34" s="15">
        <f>U16-U17</f>
        <v>-2644.8500000000058</v>
      </c>
      <c r="V34" s="19">
        <f t="shared" si="9"/>
        <v>-4.413053166707917E-2</v>
      </c>
      <c r="W34" s="15">
        <f>W16-W17</f>
        <v>63612.43</v>
      </c>
      <c r="X34" s="19">
        <f t="shared" si="10"/>
        <v>0.42575269712831704</v>
      </c>
      <c r="Y34" s="15">
        <f>Y16-Y17</f>
        <v>8119.5299999999988</v>
      </c>
      <c r="Z34" s="19">
        <f t="shared" si="11"/>
        <v>0.10950829816142187</v>
      </c>
      <c r="AA34" s="15">
        <f>AA16-AA17</f>
        <v>297455.74000000022</v>
      </c>
      <c r="AB34" s="19">
        <f t="shared" si="12"/>
        <v>0.27928917193067399</v>
      </c>
    </row>
    <row r="35" spans="1:29" ht="25.5" customHeight="1" x14ac:dyDescent="0.25">
      <c r="A35" s="47" t="s">
        <v>8</v>
      </c>
      <c r="B35" s="47"/>
      <c r="C35" s="20">
        <f>SUM(C36:C38)</f>
        <v>18692</v>
      </c>
      <c r="D35" s="21">
        <f t="shared" si="0"/>
        <v>0.36988225981992678</v>
      </c>
      <c r="E35" s="20">
        <f t="shared" ref="E35" si="28">SUM(E36:E38)</f>
        <v>20860.61</v>
      </c>
      <c r="F35" s="21">
        <f t="shared" si="1"/>
        <v>0.15647341439909365</v>
      </c>
      <c r="G35" s="20">
        <f t="shared" ref="G35" si="29">SUM(G36:G38)</f>
        <v>24915.02</v>
      </c>
      <c r="H35" s="21">
        <f t="shared" si="2"/>
        <v>0.57319985137996921</v>
      </c>
      <c r="I35" s="20">
        <f t="shared" ref="I35" si="30">SUM(I36:I38)</f>
        <v>22500</v>
      </c>
      <c r="J35" s="21">
        <f t="shared" si="3"/>
        <v>0.6413560033202288</v>
      </c>
      <c r="K35" s="20">
        <f t="shared" ref="K35" si="31">SUM(K36:K38)</f>
        <v>18499</v>
      </c>
      <c r="L35" s="21">
        <f t="shared" si="4"/>
        <v>0.30564729600698959</v>
      </c>
      <c r="M35" s="20">
        <f t="shared" ref="M35" si="32">SUM(M36:M38)</f>
        <v>32421.21</v>
      </c>
      <c r="N35" s="21">
        <f t="shared" ref="N35" si="33">M35/M$4</f>
        <v>0.29016280103155201</v>
      </c>
      <c r="O35" s="20">
        <f t="shared" ref="O35" si="34">SUM(O36:O38)</f>
        <v>1051.42</v>
      </c>
      <c r="P35" s="21">
        <f t="shared" si="6"/>
        <v>1.3161778641470908E-2</v>
      </c>
      <c r="Q35" s="20">
        <f t="shared" ref="Q35" si="35">SUM(Q36:Q38)</f>
        <v>34104.589999999997</v>
      </c>
      <c r="R35" s="21">
        <f t="shared" si="7"/>
        <v>0.18550517329317823</v>
      </c>
      <c r="S35" s="20">
        <f t="shared" ref="S35" si="36">SUM(S36:S38)</f>
        <v>21380</v>
      </c>
      <c r="T35" s="21">
        <f t="shared" si="8"/>
        <v>0.25707772368617715</v>
      </c>
      <c r="U35" s="20">
        <f t="shared" ref="U35" si="37">SUM(U36:U38)</f>
        <v>15604</v>
      </c>
      <c r="V35" s="21">
        <f t="shared" si="9"/>
        <v>0.26035987527954396</v>
      </c>
      <c r="W35" s="20">
        <f t="shared" ref="W35" si="38">SUM(W36:W38)</f>
        <v>43405</v>
      </c>
      <c r="X35" s="21">
        <f t="shared" si="10"/>
        <v>0.29050605076483638</v>
      </c>
      <c r="Y35" s="20">
        <f t="shared" ref="Y35" si="39">SUM(Y36:Y38)</f>
        <v>19777.849999999999</v>
      </c>
      <c r="Z35" s="21">
        <f t="shared" si="11"/>
        <v>0.26674434293510557</v>
      </c>
      <c r="AA35" s="20">
        <f t="shared" ref="AA35" si="40">SUM(AA36:AA38)</f>
        <v>273210.7</v>
      </c>
      <c r="AB35" s="21">
        <f t="shared" si="12"/>
        <v>0.25652485363234118</v>
      </c>
    </row>
    <row r="36" spans="1:29" ht="15.75" customHeight="1" x14ac:dyDescent="0.25">
      <c r="A36" s="46" t="s">
        <v>9</v>
      </c>
      <c r="B36" s="46"/>
      <c r="C36" s="24">
        <v>0</v>
      </c>
      <c r="D36" s="18">
        <f t="shared" si="0"/>
        <v>0</v>
      </c>
      <c r="E36" s="24">
        <v>0</v>
      </c>
      <c r="F36" s="18">
        <f t="shared" si="1"/>
        <v>0</v>
      </c>
      <c r="G36" s="24">
        <v>0</v>
      </c>
      <c r="H36" s="18">
        <f t="shared" si="2"/>
        <v>0</v>
      </c>
      <c r="I36" s="24">
        <v>0</v>
      </c>
      <c r="J36" s="18">
        <f t="shared" si="3"/>
        <v>0</v>
      </c>
      <c r="K36" s="24">
        <v>0</v>
      </c>
      <c r="L36" s="18">
        <f t="shared" si="4"/>
        <v>0</v>
      </c>
      <c r="M36" s="24">
        <v>0</v>
      </c>
      <c r="N36" s="18">
        <f t="shared" si="5"/>
        <v>0</v>
      </c>
      <c r="O36" s="24">
        <v>0</v>
      </c>
      <c r="P36" s="18">
        <f t="shared" si="6"/>
        <v>0</v>
      </c>
      <c r="Q36" s="24">
        <v>0</v>
      </c>
      <c r="R36" s="18">
        <f t="shared" si="7"/>
        <v>0</v>
      </c>
      <c r="S36" s="24">
        <v>0</v>
      </c>
      <c r="T36" s="18">
        <f t="shared" si="8"/>
        <v>0</v>
      </c>
      <c r="U36" s="24">
        <v>0</v>
      </c>
      <c r="V36" s="18">
        <f t="shared" si="9"/>
        <v>0</v>
      </c>
      <c r="W36" s="24">
        <v>0</v>
      </c>
      <c r="X36" s="18">
        <f t="shared" si="10"/>
        <v>0</v>
      </c>
      <c r="Y36" s="24">
        <v>0</v>
      </c>
      <c r="Z36" s="18">
        <f t="shared" si="11"/>
        <v>0</v>
      </c>
      <c r="AA36" s="17">
        <f>C36+E36+G36+I36+K36+M36+O36+Q36+S36+U36+W36+Y36</f>
        <v>0</v>
      </c>
      <c r="AB36" s="18">
        <f t="shared" si="12"/>
        <v>0</v>
      </c>
    </row>
    <row r="37" spans="1:29" ht="15.75" customHeight="1" x14ac:dyDescent="0.25">
      <c r="A37" s="46" t="s">
        <v>56</v>
      </c>
      <c r="B37" s="46"/>
      <c r="C37" s="24">
        <v>0</v>
      </c>
      <c r="D37" s="18">
        <f t="shared" si="0"/>
        <v>0</v>
      </c>
      <c r="E37" s="24">
        <v>1950.61</v>
      </c>
      <c r="F37" s="18">
        <f t="shared" si="1"/>
        <v>1.4631336612928196E-2</v>
      </c>
      <c r="G37" s="24">
        <v>889.02</v>
      </c>
      <c r="H37" s="18">
        <f t="shared" si="2"/>
        <v>2.0452969007202088E-2</v>
      </c>
      <c r="I37" s="24">
        <v>0</v>
      </c>
      <c r="J37" s="18">
        <f t="shared" si="3"/>
        <v>0</v>
      </c>
      <c r="K37" s="24">
        <v>0</v>
      </c>
      <c r="L37" s="18">
        <f t="shared" si="4"/>
        <v>0</v>
      </c>
      <c r="M37" s="24">
        <v>223.21</v>
      </c>
      <c r="N37" s="18">
        <f t="shared" si="5"/>
        <v>1.9976811111692846E-3</v>
      </c>
      <c r="O37" s="24">
        <v>1051.42</v>
      </c>
      <c r="P37" s="18">
        <f t="shared" si="6"/>
        <v>1.3161778641470908E-2</v>
      </c>
      <c r="Q37" s="24">
        <f>2916.94+731.05</f>
        <v>3647.99</v>
      </c>
      <c r="R37" s="18">
        <f t="shared" si="7"/>
        <v>1.984252023325251E-2</v>
      </c>
      <c r="S37" s="24">
        <v>0</v>
      </c>
      <c r="T37" s="18">
        <f t="shared" si="8"/>
        <v>0</v>
      </c>
      <c r="U37" s="24">
        <v>0</v>
      </c>
      <c r="V37" s="18">
        <f t="shared" si="9"/>
        <v>0</v>
      </c>
      <c r="W37" s="24">
        <v>0</v>
      </c>
      <c r="X37" s="18">
        <f t="shared" si="10"/>
        <v>0</v>
      </c>
      <c r="Y37" s="24">
        <v>481.44</v>
      </c>
      <c r="Z37" s="18">
        <f t="shared" si="11"/>
        <v>6.4931929639812837E-3</v>
      </c>
      <c r="AA37" s="17">
        <f>C37+E37+G37+I37+K37+M37+O37+Q37+S37+U37+W37+Y37</f>
        <v>8243.69</v>
      </c>
      <c r="AB37" s="18">
        <f t="shared" si="12"/>
        <v>7.7402216334879811E-3</v>
      </c>
    </row>
    <row r="38" spans="1:29" ht="15.75" customHeight="1" x14ac:dyDescent="0.25">
      <c r="A38" s="46" t="s">
        <v>46</v>
      </c>
      <c r="B38" s="46"/>
      <c r="C38" s="24">
        <v>18692</v>
      </c>
      <c r="D38" s="18">
        <f t="shared" si="0"/>
        <v>0.36988225981992678</v>
      </c>
      <c r="E38" s="24">
        <v>18910</v>
      </c>
      <c r="F38" s="18">
        <f t="shared" si="1"/>
        <v>0.14184207778616545</v>
      </c>
      <c r="G38" s="24">
        <v>24026</v>
      </c>
      <c r="H38" s="18">
        <f t="shared" si="2"/>
        <v>0.55274688237276703</v>
      </c>
      <c r="I38" s="24">
        <v>22500</v>
      </c>
      <c r="J38" s="18">
        <f t="shared" si="3"/>
        <v>0.6413560033202288</v>
      </c>
      <c r="K38" s="24">
        <v>18499</v>
      </c>
      <c r="L38" s="18">
        <f t="shared" si="4"/>
        <v>0.30564729600698959</v>
      </c>
      <c r="M38" s="24">
        <v>32198</v>
      </c>
      <c r="N38" s="18">
        <f t="shared" si="5"/>
        <v>0.28816511992038274</v>
      </c>
      <c r="O38" s="24">
        <v>0</v>
      </c>
      <c r="P38" s="18">
        <f t="shared" si="6"/>
        <v>0</v>
      </c>
      <c r="Q38" s="24">
        <v>30456.6</v>
      </c>
      <c r="R38" s="18">
        <f t="shared" si="7"/>
        <v>0.16566265305992572</v>
      </c>
      <c r="S38" s="24">
        <v>21380</v>
      </c>
      <c r="T38" s="18">
        <f t="shared" si="8"/>
        <v>0.25707772368617715</v>
      </c>
      <c r="U38" s="24">
        <v>15604</v>
      </c>
      <c r="V38" s="18">
        <f t="shared" si="9"/>
        <v>0.26035987527954396</v>
      </c>
      <c r="W38" s="24">
        <v>43405</v>
      </c>
      <c r="X38" s="18">
        <f t="shared" si="10"/>
        <v>0.29050605076483638</v>
      </c>
      <c r="Y38" s="24">
        <v>19296.41</v>
      </c>
      <c r="Z38" s="18">
        <f t="shared" si="11"/>
        <v>0.26025114997112431</v>
      </c>
      <c r="AA38" s="17">
        <f>C38+E38+G38+I38+K38+M38+O38+Q38+S38+U38+W38+Y38</f>
        <v>264967.01</v>
      </c>
      <c r="AB38" s="18">
        <f t="shared" si="12"/>
        <v>0.2487846319988532</v>
      </c>
    </row>
    <row r="39" spans="1:29" ht="25.5" customHeight="1" x14ac:dyDescent="0.25">
      <c r="A39" s="50" t="s">
        <v>10</v>
      </c>
      <c r="B39" s="50"/>
      <c r="C39" s="25">
        <f>C34-C35</f>
        <v>5884.630000000001</v>
      </c>
      <c r="D39" s="26">
        <f t="shared" si="0"/>
        <v>0.11644662115365591</v>
      </c>
      <c r="E39" s="25">
        <f>E34-E35</f>
        <v>15668.789999999994</v>
      </c>
      <c r="F39" s="26">
        <f t="shared" si="1"/>
        <v>0.11753007562110473</v>
      </c>
      <c r="G39" s="25">
        <f>G34-G35</f>
        <v>-13680.399999999994</v>
      </c>
      <c r="H39" s="26">
        <f t="shared" si="2"/>
        <v>-0.31473397359578786</v>
      </c>
      <c r="I39" s="25">
        <f>I34-I35</f>
        <v>-18664.61</v>
      </c>
      <c r="J39" s="26">
        <f t="shared" si="3"/>
        <v>-0.53202931880581228</v>
      </c>
      <c r="K39" s="25">
        <f>K34-K35</f>
        <v>10804.829999999998</v>
      </c>
      <c r="L39" s="26">
        <f t="shared" si="4"/>
        <v>0.17852138349722693</v>
      </c>
      <c r="M39" s="25">
        <f>M34-M35</f>
        <v>41638.799999999996</v>
      </c>
      <c r="N39" s="26">
        <f t="shared" si="5"/>
        <v>0.37265823328594416</v>
      </c>
      <c r="O39" s="25">
        <f>O34-O35</f>
        <v>-27699.53</v>
      </c>
      <c r="P39" s="26">
        <f t="shared" si="6"/>
        <v>-0.34674543220861559</v>
      </c>
      <c r="Q39" s="25">
        <f>Q34-Q35</f>
        <v>10879.30999999999</v>
      </c>
      <c r="R39" s="26">
        <f t="shared" si="7"/>
        <v>5.917585541594856E-2</v>
      </c>
      <c r="S39" s="25">
        <f>S34-S35</f>
        <v>9112.9599999999919</v>
      </c>
      <c r="T39" s="26">
        <f t="shared" si="8"/>
        <v>0.10957619330417132</v>
      </c>
      <c r="U39" s="25">
        <f>U34-U35</f>
        <v>-18248.850000000006</v>
      </c>
      <c r="V39" s="26">
        <f t="shared" si="9"/>
        <v>-0.30449040694662316</v>
      </c>
      <c r="W39" s="25">
        <f>W34-W35</f>
        <v>20207.43</v>
      </c>
      <c r="X39" s="26">
        <f t="shared" si="10"/>
        <v>0.13524664636348066</v>
      </c>
      <c r="Y39" s="25">
        <f>Y34-Y35</f>
        <v>-11658.32</v>
      </c>
      <c r="Z39" s="26">
        <f t="shared" si="11"/>
        <v>-0.15723604477368369</v>
      </c>
      <c r="AA39" s="25">
        <f>AA34-AA35</f>
        <v>24245.040000000212</v>
      </c>
      <c r="AB39" s="26">
        <f t="shared" si="12"/>
        <v>2.2764318298332791E-2</v>
      </c>
    </row>
    <row r="41" spans="1:29" s="32" customFormat="1" x14ac:dyDescent="0.25">
      <c r="A41" s="48" t="s">
        <v>58</v>
      </c>
      <c r="B41" s="48"/>
      <c r="C41" s="34">
        <v>1286.3</v>
      </c>
      <c r="D41" s="34"/>
      <c r="E41" s="34">
        <v>1286.3</v>
      </c>
      <c r="F41" s="34"/>
      <c r="G41" s="34">
        <v>1037.7</v>
      </c>
      <c r="H41" s="34"/>
      <c r="I41" s="34">
        <v>934.6</v>
      </c>
      <c r="J41" s="34"/>
      <c r="K41" s="34">
        <v>1119.5</v>
      </c>
      <c r="L41" s="34"/>
      <c r="M41" s="34">
        <v>934.6</v>
      </c>
      <c r="N41" s="34"/>
      <c r="O41" s="34">
        <v>1277.99</v>
      </c>
      <c r="P41" s="34"/>
      <c r="Q41" s="34">
        <v>933.99</v>
      </c>
      <c r="R41" s="34"/>
      <c r="S41" s="34">
        <v>491.89</v>
      </c>
      <c r="T41" s="34"/>
      <c r="U41" s="34">
        <v>811.86</v>
      </c>
      <c r="V41" s="34"/>
      <c r="W41" s="34">
        <v>877.58</v>
      </c>
      <c r="X41" s="34"/>
      <c r="Y41" s="34">
        <v>3192.2</v>
      </c>
      <c r="Z41" s="34"/>
      <c r="AA41" s="34">
        <f>SUM(C41:Z41)</f>
        <v>14184.510000000002</v>
      </c>
      <c r="AB41" s="34"/>
      <c r="AC41" s="33"/>
    </row>
  </sheetData>
  <mergeCells count="63">
    <mergeCell ref="AA1:AB1"/>
    <mergeCell ref="AA2:AB2"/>
    <mergeCell ref="A5:B5"/>
    <mergeCell ref="A18:B18"/>
    <mergeCell ref="A20:B20"/>
    <mergeCell ref="A13:B13"/>
    <mergeCell ref="A14:B14"/>
    <mergeCell ref="W1:X1"/>
    <mergeCell ref="W2:X2"/>
    <mergeCell ref="Y1:Z1"/>
    <mergeCell ref="S1:T1"/>
    <mergeCell ref="S2:T2"/>
    <mergeCell ref="U1:V1"/>
    <mergeCell ref="U2:V2"/>
    <mergeCell ref="A10:B10"/>
    <mergeCell ref="Y2:Z2"/>
    <mergeCell ref="A23:B23"/>
    <mergeCell ref="A19:B19"/>
    <mergeCell ref="A21:B21"/>
    <mergeCell ref="A22:B22"/>
    <mergeCell ref="O1:P1"/>
    <mergeCell ref="O2:P2"/>
    <mergeCell ref="Q1:R1"/>
    <mergeCell ref="Q2:R2"/>
    <mergeCell ref="M1:N1"/>
    <mergeCell ref="M2:N2"/>
    <mergeCell ref="K1:L1"/>
    <mergeCell ref="K2:L2"/>
    <mergeCell ref="A35:B35"/>
    <mergeCell ref="A36:B36"/>
    <mergeCell ref="A37:B37"/>
    <mergeCell ref="E1:F1"/>
    <mergeCell ref="E2:F2"/>
    <mergeCell ref="G1:H1"/>
    <mergeCell ref="G2:H2"/>
    <mergeCell ref="I1:J1"/>
    <mergeCell ref="I2:J2"/>
    <mergeCell ref="A12:B12"/>
    <mergeCell ref="A15:B15"/>
    <mergeCell ref="A24:B24"/>
    <mergeCell ref="A25:B25"/>
    <mergeCell ref="A41:B41"/>
    <mergeCell ref="A39:B39"/>
    <mergeCell ref="A27:B27"/>
    <mergeCell ref="A26:B26"/>
    <mergeCell ref="A38:B38"/>
    <mergeCell ref="A29:B29"/>
    <mergeCell ref="A31:B31"/>
    <mergeCell ref="A30:B30"/>
    <mergeCell ref="A32:B32"/>
    <mergeCell ref="A28:B28"/>
    <mergeCell ref="A33:B33"/>
    <mergeCell ref="A34:B34"/>
    <mergeCell ref="A17:B17"/>
    <mergeCell ref="A16:B16"/>
    <mergeCell ref="A11:B11"/>
    <mergeCell ref="A7:B7"/>
    <mergeCell ref="A1:B3"/>
    <mergeCell ref="C1:D1"/>
    <mergeCell ref="C2:D2"/>
    <mergeCell ref="A6:B6"/>
    <mergeCell ref="A8:B8"/>
    <mergeCell ref="A9:B9"/>
  </mergeCells>
  <phoneticPr fontId="0" type="noConversion"/>
  <pageMargins left="0.59055118110236227" right="0.59055118110236227" top="0.78740157480314965" bottom="0.59055118110236227" header="0.51181102362204722" footer="0.51181102362204722"/>
  <pageSetup paperSize="9" orientation="landscape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2D7E-C8D0-47F3-93A7-B3252CE5E4E3}">
  <dimension ref="A1:E11"/>
  <sheetViews>
    <sheetView workbookViewId="0">
      <selection activeCell="G20" sqref="G20"/>
    </sheetView>
  </sheetViews>
  <sheetFormatPr defaultRowHeight="15.6" x14ac:dyDescent="0.3"/>
  <cols>
    <col min="1" max="1" width="22" customWidth="1"/>
    <col min="2" max="2" width="11.3984375" customWidth="1"/>
    <col min="3" max="3" width="20.8984375" customWidth="1"/>
    <col min="4" max="4" width="17.19921875" customWidth="1"/>
    <col min="5" max="5" width="22.59765625" customWidth="1"/>
  </cols>
  <sheetData>
    <row r="1" spans="1:5" ht="26.4" x14ac:dyDescent="0.3">
      <c r="A1" s="38" t="s">
        <v>33</v>
      </c>
      <c r="B1" s="39" t="s">
        <v>11</v>
      </c>
      <c r="C1" s="9" t="s">
        <v>12</v>
      </c>
      <c r="D1" s="9" t="s">
        <v>13</v>
      </c>
      <c r="E1" s="9" t="s">
        <v>12</v>
      </c>
    </row>
    <row r="2" spans="1:5" ht="42.6" customHeight="1" thickBot="1" x14ac:dyDescent="0.35">
      <c r="B2" s="40"/>
      <c r="C2" s="10" t="s">
        <v>25</v>
      </c>
      <c r="D2" s="10" t="s">
        <v>26</v>
      </c>
      <c r="E2" s="10" t="s">
        <v>27</v>
      </c>
    </row>
    <row r="3" spans="1:5" ht="22.8" customHeight="1" x14ac:dyDescent="0.3">
      <c r="A3" s="11" t="s">
        <v>24</v>
      </c>
      <c r="B3" s="1">
        <v>780000</v>
      </c>
      <c r="C3" s="1">
        <v>936000</v>
      </c>
      <c r="D3" s="1">
        <v>780000</v>
      </c>
      <c r="E3" s="1">
        <v>834600</v>
      </c>
    </row>
    <row r="4" spans="1:5" x14ac:dyDescent="0.3">
      <c r="A4" s="11" t="s">
        <v>14</v>
      </c>
      <c r="B4" s="1">
        <v>564720.00000000012</v>
      </c>
      <c r="C4" s="1">
        <v>677664.00000000023</v>
      </c>
      <c r="D4" s="1">
        <v>564720.00000000012</v>
      </c>
      <c r="E4" s="1">
        <v>576022.20000000007</v>
      </c>
    </row>
    <row r="5" spans="1:5" x14ac:dyDescent="0.3">
      <c r="A5" s="11" t="s">
        <v>15</v>
      </c>
      <c r="B5" s="3">
        <v>215279.99999999988</v>
      </c>
      <c r="C5" s="3">
        <v>258335.99999999977</v>
      </c>
      <c r="D5" s="3">
        <v>215279.99999999988</v>
      </c>
      <c r="E5" s="3">
        <v>258577.79999999993</v>
      </c>
    </row>
    <row r="6" spans="1:5" x14ac:dyDescent="0.3">
      <c r="A6" s="11" t="s">
        <v>16</v>
      </c>
      <c r="B6" s="1">
        <v>175000</v>
      </c>
      <c r="C6" s="1">
        <v>175000</v>
      </c>
      <c r="D6" s="1">
        <v>157500</v>
      </c>
      <c r="E6" s="1">
        <v>175000</v>
      </c>
    </row>
    <row r="7" spans="1:5" x14ac:dyDescent="0.3">
      <c r="A7" s="12" t="s">
        <v>29</v>
      </c>
      <c r="B7" s="3">
        <v>40279.999999999884</v>
      </c>
      <c r="C7" s="3">
        <v>83335.999999999767</v>
      </c>
      <c r="D7" s="3">
        <v>57779.999999999884</v>
      </c>
      <c r="E7" s="3">
        <v>83577.79999999993</v>
      </c>
    </row>
    <row r="8" spans="1:5" x14ac:dyDescent="0.3">
      <c r="A8" s="11" t="s">
        <v>28</v>
      </c>
      <c r="B8" s="1">
        <v>11700</v>
      </c>
      <c r="C8" s="1">
        <v>14040</v>
      </c>
      <c r="D8" s="1">
        <v>11700</v>
      </c>
      <c r="E8" s="1">
        <v>11700</v>
      </c>
    </row>
    <row r="9" spans="1:5" x14ac:dyDescent="0.3">
      <c r="A9" s="11" t="s">
        <v>30</v>
      </c>
      <c r="B9" s="1">
        <v>9717.1999999999607</v>
      </c>
      <c r="C9" s="1">
        <v>23560.639999999923</v>
      </c>
      <c r="D9" s="1">
        <v>15667.199999999961</v>
      </c>
      <c r="E9" s="1">
        <v>24438.451999999979</v>
      </c>
    </row>
    <row r="10" spans="1:5" x14ac:dyDescent="0.3">
      <c r="A10" s="12" t="s">
        <v>31</v>
      </c>
      <c r="B10" s="1">
        <v>18862.799999999923</v>
      </c>
      <c r="C10" s="1">
        <v>45735.359999999841</v>
      </c>
      <c r="D10" s="1">
        <v>30412.799999999923</v>
      </c>
      <c r="E10" s="1">
        <v>47439.347999999954</v>
      </c>
    </row>
    <row r="11" spans="1:5" ht="15.75" customHeight="1" x14ac:dyDescent="0.3">
      <c r="A11" s="11" t="s">
        <v>32</v>
      </c>
      <c r="B11" s="5"/>
      <c r="C11" s="4">
        <v>2.4246326102169364</v>
      </c>
      <c r="D11" s="4">
        <v>1.6123163051084699</v>
      </c>
      <c r="E11" s="4">
        <v>2.5149685094471739</v>
      </c>
    </row>
  </sheetData>
  <pageMargins left="0.78740157480314965" right="0.78740157480314965" top="0.98425196850393704" bottom="0.98425196850393704" header="0.51181102362204722" footer="0.51181102362204722"/>
  <pageSetup paperSize="9" orientation="landscape" horizontalDpi="4294967294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192-E8C8-44C9-8D6A-4EE70DF20283}">
  <dimension ref="A1:J11"/>
  <sheetViews>
    <sheetView workbookViewId="0">
      <selection activeCell="E4" sqref="E4"/>
    </sheetView>
  </sheetViews>
  <sheetFormatPr defaultRowHeight="15.6" x14ac:dyDescent="0.3"/>
  <cols>
    <col min="1" max="1" width="6.69921875" customWidth="1"/>
    <col min="2" max="2" width="12.69921875" customWidth="1"/>
    <col min="3" max="3" width="11.3984375" customWidth="1"/>
    <col min="4" max="4" width="9.09765625" customWidth="1"/>
    <col min="5" max="5" width="12.3984375" customWidth="1"/>
    <col min="6" max="6" width="10" customWidth="1"/>
    <col min="7" max="7" width="11.69921875" customWidth="1"/>
    <col min="8" max="8" width="8.5" customWidth="1"/>
    <col min="9" max="9" width="10.5" customWidth="1"/>
  </cols>
  <sheetData>
    <row r="1" spans="1:10" x14ac:dyDescent="0.3">
      <c r="A1" s="56" t="s">
        <v>33</v>
      </c>
      <c r="B1" s="56"/>
      <c r="C1" s="54" t="s">
        <v>11</v>
      </c>
      <c r="D1" s="52" t="s">
        <v>2</v>
      </c>
      <c r="E1" s="9" t="s">
        <v>12</v>
      </c>
      <c r="F1" s="52" t="s">
        <v>2</v>
      </c>
      <c r="G1" s="9" t="s">
        <v>13</v>
      </c>
      <c r="H1" s="52" t="s">
        <v>2</v>
      </c>
      <c r="I1" s="9" t="s">
        <v>12</v>
      </c>
      <c r="J1" s="54" t="s">
        <v>2</v>
      </c>
    </row>
    <row r="2" spans="1:10" ht="40.200000000000003" thickBot="1" x14ac:dyDescent="0.35">
      <c r="A2" s="56"/>
      <c r="B2" s="56"/>
      <c r="C2" s="55"/>
      <c r="D2" s="53"/>
      <c r="E2" s="10" t="s">
        <v>25</v>
      </c>
      <c r="F2" s="53"/>
      <c r="G2" s="10" t="s">
        <v>26</v>
      </c>
      <c r="H2" s="53"/>
      <c r="I2" s="10" t="s">
        <v>27</v>
      </c>
      <c r="J2" s="55"/>
    </row>
    <row r="3" spans="1:10" x14ac:dyDescent="0.3">
      <c r="A3" s="57" t="s">
        <v>24</v>
      </c>
      <c r="B3" s="57"/>
      <c r="C3" s="1">
        <v>780000</v>
      </c>
      <c r="D3" s="6">
        <v>1</v>
      </c>
      <c r="E3" s="1">
        <f>C3*1.2</f>
        <v>936000</v>
      </c>
      <c r="F3" s="6">
        <v>1</v>
      </c>
      <c r="G3" s="1">
        <f>C3</f>
        <v>780000</v>
      </c>
      <c r="H3" s="6">
        <v>1</v>
      </c>
      <c r="I3" s="1">
        <f>C3*(1+7%)</f>
        <v>834600</v>
      </c>
      <c r="J3" s="4">
        <v>1</v>
      </c>
    </row>
    <row r="4" spans="1:10" x14ac:dyDescent="0.3">
      <c r="A4" s="57" t="s">
        <v>14</v>
      </c>
      <c r="B4" s="57"/>
      <c r="C4" s="1">
        <f>72.4%*C3</f>
        <v>564720.00000000012</v>
      </c>
      <c r="D4" s="6">
        <f t="shared" ref="D4:D10" si="0">C4/C$3</f>
        <v>0.7240000000000002</v>
      </c>
      <c r="E4" s="1">
        <f>D4*E3</f>
        <v>677664.00000000023</v>
      </c>
      <c r="F4" s="6">
        <f>E4/E$3</f>
        <v>0.7240000000000002</v>
      </c>
      <c r="G4" s="1">
        <f>C4</f>
        <v>564720.00000000012</v>
      </c>
      <c r="H4" s="6">
        <f>G4/G$3</f>
        <v>0.7240000000000002</v>
      </c>
      <c r="I4" s="1">
        <f>C4+(I3-C3)*20.7%</f>
        <v>576022.20000000007</v>
      </c>
      <c r="J4" s="4">
        <f>I4/I$3</f>
        <v>0.69017757009345804</v>
      </c>
    </row>
    <row r="5" spans="1:10" x14ac:dyDescent="0.3">
      <c r="A5" s="57" t="s">
        <v>15</v>
      </c>
      <c r="B5" s="57"/>
      <c r="C5" s="3">
        <f>C3-C4</f>
        <v>215279.99999999988</v>
      </c>
      <c r="D5" s="6">
        <f t="shared" si="0"/>
        <v>0.27599999999999986</v>
      </c>
      <c r="E5" s="3">
        <f>E3-E4</f>
        <v>258335.99999999977</v>
      </c>
      <c r="F5" s="6">
        <f t="shared" ref="F5:J8" si="1">E5/E$3</f>
        <v>0.27599999999999975</v>
      </c>
      <c r="G5" s="3">
        <f>G3-G4</f>
        <v>215279.99999999988</v>
      </c>
      <c r="H5" s="6">
        <f t="shared" si="1"/>
        <v>0.27599999999999986</v>
      </c>
      <c r="I5" s="3">
        <f>I3-I4</f>
        <v>258577.79999999993</v>
      </c>
      <c r="J5" s="4">
        <f t="shared" si="1"/>
        <v>0.30982242990654196</v>
      </c>
    </row>
    <row r="6" spans="1:10" x14ac:dyDescent="0.3">
      <c r="A6" s="57" t="s">
        <v>16</v>
      </c>
      <c r="B6" s="57"/>
      <c r="C6" s="1">
        <v>175000</v>
      </c>
      <c r="D6" s="6">
        <f t="shared" si="0"/>
        <v>0.22435897435897437</v>
      </c>
      <c r="E6" s="1">
        <f>C6</f>
        <v>175000</v>
      </c>
      <c r="F6" s="6">
        <f t="shared" si="1"/>
        <v>0.18696581196581197</v>
      </c>
      <c r="G6" s="1">
        <f>C6*(1-10%)</f>
        <v>157500</v>
      </c>
      <c r="H6" s="6">
        <f t="shared" si="1"/>
        <v>0.20192307692307693</v>
      </c>
      <c r="I6" s="1">
        <f>C6</f>
        <v>175000</v>
      </c>
      <c r="J6" s="4">
        <f t="shared" si="1"/>
        <v>0.20968128444763959</v>
      </c>
    </row>
    <row r="7" spans="1:10" x14ac:dyDescent="0.3">
      <c r="A7" s="58" t="s">
        <v>29</v>
      </c>
      <c r="B7" s="58"/>
      <c r="C7" s="3">
        <f>C5-C6</f>
        <v>40279.999999999884</v>
      </c>
      <c r="D7" s="6">
        <f t="shared" si="0"/>
        <v>5.164102564102549E-2</v>
      </c>
      <c r="E7" s="3">
        <f>E5-E6</f>
        <v>83335.999999999767</v>
      </c>
      <c r="F7" s="6">
        <f t="shared" si="1"/>
        <v>8.9034188034187792E-2</v>
      </c>
      <c r="G7" s="3">
        <f>G5-G6</f>
        <v>57779.999999999884</v>
      </c>
      <c r="H7" s="6">
        <f t="shared" si="1"/>
        <v>7.4076923076922929E-2</v>
      </c>
      <c r="I7" s="3">
        <f>I5-I6</f>
        <v>83577.79999999993</v>
      </c>
      <c r="J7" s="4">
        <f t="shared" si="1"/>
        <v>0.10014114545890239</v>
      </c>
    </row>
    <row r="8" spans="1:10" x14ac:dyDescent="0.3">
      <c r="A8" s="57" t="s">
        <v>28</v>
      </c>
      <c r="B8" s="57"/>
      <c r="C8" s="1">
        <f>1.5%*C3</f>
        <v>11700</v>
      </c>
      <c r="D8" s="6">
        <f t="shared" si="0"/>
        <v>1.4999999999999999E-2</v>
      </c>
      <c r="E8" s="1">
        <f>F8*E3</f>
        <v>14040</v>
      </c>
      <c r="F8" s="6">
        <f>D8</f>
        <v>1.4999999999999999E-2</v>
      </c>
      <c r="G8" s="1">
        <f>C8</f>
        <v>11700</v>
      </c>
      <c r="H8" s="6">
        <f>G8/G3</f>
        <v>1.4999999999999999E-2</v>
      </c>
      <c r="I8" s="1">
        <f>C8</f>
        <v>11700</v>
      </c>
      <c r="J8" s="4">
        <f t="shared" si="1"/>
        <v>1.4018691588785047E-2</v>
      </c>
    </row>
    <row r="9" spans="1:10" x14ac:dyDescent="0.3">
      <c r="A9" s="57" t="s">
        <v>30</v>
      </c>
      <c r="B9" s="57"/>
      <c r="C9" s="1">
        <f>IF((C7-C8)*34%&gt;0,(C7-C8)*34%,0)</f>
        <v>9717.1999999999607</v>
      </c>
      <c r="D9" s="6">
        <f t="shared" si="0"/>
        <v>1.2457948717948667E-2</v>
      </c>
      <c r="E9" s="1">
        <f>IF((E7-E8)*34%&gt;0,(E7-E8)*34%,0)</f>
        <v>23560.639999999923</v>
      </c>
      <c r="F9" s="6">
        <f>E9/E$3</f>
        <v>2.5171623931623848E-2</v>
      </c>
      <c r="G9" s="1">
        <f>IF((G7-G8)*34%&gt;0,(G7-G8)*34%,0)</f>
        <v>15667.199999999961</v>
      </c>
      <c r="H9" s="6">
        <f>G9/G$3</f>
        <v>2.0086153846153795E-2</v>
      </c>
      <c r="I9" s="1">
        <f>IF((I7-I8)*34%&gt;0,(I7-I8)*34%,0)</f>
        <v>24438.451999999979</v>
      </c>
      <c r="J9" s="4">
        <f>I9/I$3</f>
        <v>2.92816343158399E-2</v>
      </c>
    </row>
    <row r="10" spans="1:10" x14ac:dyDescent="0.3">
      <c r="A10" s="58" t="s">
        <v>31</v>
      </c>
      <c r="B10" s="58"/>
      <c r="C10" s="1">
        <f>C7-C8-C9</f>
        <v>18862.799999999923</v>
      </c>
      <c r="D10" s="6">
        <f t="shared" si="0"/>
        <v>2.4183076923076825E-2</v>
      </c>
      <c r="E10" s="1">
        <f>E7-E8-E9</f>
        <v>45735.359999999841</v>
      </c>
      <c r="F10" s="6">
        <f>E10/E$3</f>
        <v>4.8862564102563934E-2</v>
      </c>
      <c r="G10" s="1">
        <f>G7-G8-G9</f>
        <v>30412.799999999923</v>
      </c>
      <c r="H10" s="6">
        <f>G10/G$3</f>
        <v>3.8990769230769134E-2</v>
      </c>
      <c r="I10" s="1">
        <f>I7-I8-I9</f>
        <v>47439.347999999954</v>
      </c>
      <c r="J10" s="4">
        <f>I10/I$3</f>
        <v>5.6840819554277444E-2</v>
      </c>
    </row>
    <row r="11" spans="1:10" ht="15.75" customHeight="1" x14ac:dyDescent="0.3">
      <c r="A11" s="57" t="s">
        <v>32</v>
      </c>
      <c r="B11" s="57"/>
      <c r="C11" s="5"/>
      <c r="D11" s="7"/>
      <c r="E11" s="4">
        <f>E10/$C10</f>
        <v>2.4246326102169364</v>
      </c>
      <c r="F11" s="8" t="s">
        <v>3</v>
      </c>
      <c r="G11" s="4">
        <f>G10/$C10</f>
        <v>1.6123163051084699</v>
      </c>
      <c r="H11" s="8" t="s">
        <v>3</v>
      </c>
      <c r="I11" s="4">
        <f>I10/$C10</f>
        <v>2.5149685094471739</v>
      </c>
      <c r="J11" s="2" t="s">
        <v>3</v>
      </c>
    </row>
  </sheetData>
  <mergeCells count="15">
    <mergeCell ref="A3:B3"/>
    <mergeCell ref="A4:B4"/>
    <mergeCell ref="A5:B5"/>
    <mergeCell ref="A6:B6"/>
    <mergeCell ref="A11:B11"/>
    <mergeCell ref="A7:B7"/>
    <mergeCell ref="A8:B8"/>
    <mergeCell ref="A9:B9"/>
    <mergeCell ref="A10:B10"/>
    <mergeCell ref="H1:H2"/>
    <mergeCell ref="J1:J2"/>
    <mergeCell ref="A1:B2"/>
    <mergeCell ref="C1:C2"/>
    <mergeCell ref="D1:D2"/>
    <mergeCell ref="F1:F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Realizado base ajustada</vt:lpstr>
      <vt:lpstr>Planilha4</vt:lpstr>
      <vt:lpstr>Relizado x Orçado</vt:lpstr>
      <vt:lpstr>Simulações ajustada</vt:lpstr>
      <vt:lpstr>Simulações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MOLINA</dc:creator>
  <cp:lastModifiedBy>Ismael Junior</cp:lastModifiedBy>
  <cp:lastPrinted>2003-05-26T17:27:22Z</cp:lastPrinted>
  <dcterms:created xsi:type="dcterms:W3CDTF">2003-05-24T14:15:12Z</dcterms:created>
  <dcterms:modified xsi:type="dcterms:W3CDTF">2026-03-03T03:53:41Z</dcterms:modified>
</cp:coreProperties>
</file>